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1010" windowHeight="7260"/>
  </bookViews>
  <sheets>
    <sheet name="Data" sheetId="1" r:id="rId1"/>
    <sheet name="Result" sheetId="85" r:id="rId2"/>
  </sheets>
  <functionGroups builtInGroupCount="18"/>
  <calcPr calcId="162913"/>
  <pivotCaches>
    <pivotCache cacheId="39" r:id="rId3"/>
    <pivotCache cacheId="43" r:id="rId4"/>
    <pivotCache cacheId="47" r:id="rId5"/>
    <pivotCache cacheId="5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2" i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49" i="1"/>
  <c r="E61" i="1"/>
  <c r="E69" i="1"/>
  <c r="E77" i="1"/>
  <c r="E81" i="1"/>
  <c r="E6" i="1"/>
  <c r="E18" i="1"/>
  <c r="E22" i="1"/>
  <c r="E30" i="1"/>
  <c r="E38" i="1"/>
  <c r="E42" i="1"/>
  <c r="E50" i="1"/>
  <c r="E58" i="1"/>
  <c r="E62" i="1"/>
  <c r="E70" i="1"/>
  <c r="E78" i="1"/>
  <c r="E86" i="1"/>
  <c r="E4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5" i="1"/>
  <c r="E9" i="1"/>
  <c r="E13" i="1"/>
  <c r="E17" i="1"/>
  <c r="E21" i="1"/>
  <c r="E25" i="1"/>
  <c r="E29" i="1"/>
  <c r="E33" i="1"/>
  <c r="E37" i="1"/>
  <c r="E41" i="1"/>
  <c r="E45" i="1"/>
  <c r="E53" i="1"/>
  <c r="E57" i="1"/>
  <c r="E65" i="1"/>
  <c r="E73" i="1"/>
  <c r="E85" i="1"/>
  <c r="E89" i="1"/>
  <c r="E10" i="1"/>
  <c r="E14" i="1"/>
  <c r="E26" i="1"/>
  <c r="E34" i="1"/>
  <c r="E46" i="1"/>
  <c r="E54" i="1"/>
  <c r="E66" i="1"/>
  <c r="E74" i="1"/>
  <c r="E82" i="1"/>
  <c r="E90" i="1"/>
  <c r="E2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18" i="1"/>
  <c r="D34" i="1"/>
  <c r="D50" i="1"/>
  <c r="D66" i="1"/>
  <c r="D78" i="1"/>
  <c r="D90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73" i="1"/>
  <c r="D81" i="1"/>
  <c r="D85" i="1"/>
  <c r="D6" i="1"/>
  <c r="D22" i="1"/>
  <c r="D30" i="1"/>
  <c r="D42" i="1"/>
  <c r="D54" i="1"/>
  <c r="D62" i="1"/>
  <c r="D70" i="1"/>
  <c r="D82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7" i="1"/>
  <c r="D89" i="1"/>
  <c r="D10" i="1"/>
  <c r="D14" i="1"/>
  <c r="D26" i="1"/>
  <c r="D38" i="1"/>
  <c r="D46" i="1"/>
  <c r="D58" i="1"/>
  <c r="D74" i="1"/>
  <c r="D86" i="1"/>
  <c r="D2" i="1"/>
</calcChain>
</file>

<file path=xl/sharedStrings.xml><?xml version="1.0" encoding="utf-8"?>
<sst xmlns="http://schemas.openxmlformats.org/spreadsheetml/2006/main" count="255" uniqueCount="35">
  <si>
    <t>Ct</t>
  </si>
  <si>
    <t>SampleName</t>
  </si>
  <si>
    <t>TargetName</t>
  </si>
  <si>
    <t>Average of Ct</t>
  </si>
  <si>
    <t>使用教程</t>
  </si>
  <si>
    <t>作者：shawn</t>
  </si>
  <si>
    <t>1. 填写内参基因和对照组样本名</t>
  </si>
  <si>
    <t>2. 将数据输入或粘贴至对应位置，输入数据有sampleName列，TargetName列，Ct值列（浅蓝区域)</t>
  </si>
  <si>
    <t xml:space="preserve">    1. 前面两张为中间结果，为各个基因样本的Ct和delta Ct值的均值</t>
  </si>
  <si>
    <t xml:space="preserve">    2. 您可能更专注后两张，分别为相对表达量的平均值和方差</t>
  </si>
  <si>
    <t xml:space="preserve">    3. 柱状图为相对表达量的表征</t>
  </si>
  <si>
    <t>结果包括4个表和一张图：</t>
  </si>
  <si>
    <t>3. 轻轻按下下面的计算按钮</t>
  </si>
  <si>
    <t>内参（Endogenous Control）</t>
  </si>
  <si>
    <t>对照（Reference Sample）</t>
  </si>
  <si>
    <t>GAPDH</t>
  </si>
  <si>
    <t>Average of dCt</t>
  </si>
  <si>
    <t>Average of expr</t>
  </si>
  <si>
    <t>StdDev of expr</t>
  </si>
  <si>
    <t>请勿禁用宏，请勿对红色表头进行修改</t>
  </si>
  <si>
    <t>Control</t>
  </si>
  <si>
    <t>T1</t>
  </si>
  <si>
    <t>T2</t>
  </si>
  <si>
    <t>SNRPD1</t>
  </si>
  <si>
    <t>RhoA</t>
  </si>
  <si>
    <t>CCND1</t>
  </si>
  <si>
    <t>CCNA2</t>
  </si>
  <si>
    <t>AURKA</t>
  </si>
  <si>
    <t>GTPBP4</t>
  </si>
  <si>
    <t>Control</t>
    <phoneticPr fontId="8" type="noConversion"/>
  </si>
  <si>
    <t>MMP9</t>
  </si>
  <si>
    <t>dCt</t>
    <phoneticPr fontId="8" type="noConversion"/>
  </si>
  <si>
    <t>ddCt</t>
    <phoneticPr fontId="8" type="noConversion"/>
  </si>
  <si>
    <t>expr</t>
    <phoneticPr fontId="8" type="noConversion"/>
  </si>
  <si>
    <t>如发现程序报错，请留言公众号“肖恩札记”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</si>
</sst>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"/>
  </numFmts>
  <fonts count="11" x14ac:knownFonts="1">
    <font>
      <sz val="11"/>
      <color theme="1"/>
      <name val="等线"/>
      <family val="2"/>
      <scheme val="minor"/>
    </font>
    <font>
      <b/>
      <sz val="12"/>
      <color rgb="FFFF0000"/>
      <name val="Arial"/>
      <family val="2"/>
    </font>
    <font>
      <u/>
      <sz val="10"/>
      <color theme="10"/>
      <name val="Arial"/>
      <family val="2"/>
    </font>
    <font>
      <b/>
      <u/>
      <sz val="12"/>
      <color theme="10"/>
      <name val="Arial"/>
      <family val="2"/>
    </font>
    <font>
      <b/>
      <sz val="12"/>
      <name val="Arial"/>
      <family val="2"/>
    </font>
    <font>
      <b/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b/>
      <sz val="12"/>
      <color rgb="FFC00000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rgb="FF000080"/>
      <name val="等线"/>
      <family val="3"/>
      <charset val="134"/>
    </font>
    <font>
      <b/>
      <sz val="12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center" vertical="center"/>
    </xf>
    <xf numFmtId="176" fontId="0" fillId="0" borderId="0" xfId="0" applyNumberFormat="1"/>
    <xf numFmtId="0" fontId="4" fillId="5" borderId="2" xfId="0" applyFont="1" applyFill="1" applyBorder="1" applyProtection="1"/>
    <xf numFmtId="0" fontId="5" fillId="5" borderId="3" xfId="0" applyFont="1" applyFill="1" applyBorder="1" applyProtection="1"/>
    <xf numFmtId="0" fontId="5" fillId="5" borderId="4" xfId="0" applyFont="1" applyFill="1" applyBorder="1" applyProtection="1"/>
    <xf numFmtId="0" fontId="5" fillId="5" borderId="5" xfId="0" applyFont="1" applyFill="1" applyBorder="1" applyAlignment="1" applyProtection="1">
      <alignment horizontal="right"/>
    </xf>
    <xf numFmtId="0" fontId="4" fillId="6" borderId="1" xfId="0" applyFont="1" applyFill="1" applyBorder="1" applyProtection="1">
      <protection locked="0"/>
    </xf>
    <xf numFmtId="0" fontId="5" fillId="5" borderId="6" xfId="0" applyFont="1" applyFill="1" applyBorder="1"/>
    <xf numFmtId="0" fontId="4" fillId="6" borderId="10" xfId="0" applyFont="1" applyFill="1" applyBorder="1" applyProtection="1">
      <protection locked="0"/>
    </xf>
    <xf numFmtId="0" fontId="4" fillId="5" borderId="5" xfId="0" applyFont="1" applyFill="1" applyBorder="1" applyProtection="1"/>
    <xf numFmtId="0" fontId="5" fillId="5" borderId="0" xfId="0" applyFont="1" applyFill="1" applyBorder="1" applyProtection="1"/>
    <xf numFmtId="0" fontId="5" fillId="5" borderId="6" xfId="0" applyFont="1" applyFill="1" applyBorder="1" applyProtection="1"/>
    <xf numFmtId="0" fontId="4" fillId="5" borderId="7" xfId="0" applyFont="1" applyFill="1" applyBorder="1" applyProtection="1"/>
    <xf numFmtId="0" fontId="5" fillId="5" borderId="8" xfId="0" applyFont="1" applyFill="1" applyBorder="1" applyProtection="1"/>
    <xf numFmtId="0" fontId="5" fillId="5" borderId="9" xfId="0" applyFont="1" applyFill="1" applyBorder="1" applyProtection="1"/>
    <xf numFmtId="0" fontId="4" fillId="2" borderId="5" xfId="0" applyFont="1" applyFill="1" applyBorder="1" applyProtection="1"/>
    <xf numFmtId="0" fontId="5" fillId="2" borderId="0" xfId="0" applyFont="1" applyFill="1" applyBorder="1"/>
    <xf numFmtId="0" fontId="5" fillId="2" borderId="6" xfId="0" applyFont="1" applyFill="1" applyBorder="1"/>
    <xf numFmtId="0" fontId="5" fillId="2" borderId="0" xfId="0" applyFont="1" applyFill="1" applyBorder="1" applyProtection="1"/>
    <xf numFmtId="0" fontId="5" fillId="2" borderId="6" xfId="0" applyFont="1" applyFill="1" applyBorder="1" applyProtection="1"/>
    <xf numFmtId="0" fontId="5" fillId="0" borderId="0" xfId="0" applyFont="1" applyBorder="1"/>
    <xf numFmtId="0" fontId="5" fillId="0" borderId="6" xfId="0" applyFont="1" applyBorder="1"/>
    <xf numFmtId="0" fontId="5" fillId="0" borderId="8" xfId="0" applyFont="1" applyBorder="1"/>
    <xf numFmtId="0" fontId="5" fillId="0" borderId="9" xfId="0" applyFont="1" applyBorder="1"/>
    <xf numFmtId="0" fontId="6" fillId="0" borderId="0" xfId="0" applyFont="1"/>
    <xf numFmtId="0" fontId="7" fillId="3" borderId="8" xfId="0" applyFont="1" applyFill="1" applyBorder="1" applyAlignment="1">
      <alignment horizontal="center" vertical="center"/>
    </xf>
    <xf numFmtId="176" fontId="7" fillId="4" borderId="8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6" fontId="6" fillId="4" borderId="0" xfId="0" applyNumberFormat="1" applyFont="1" applyFill="1" applyAlignment="1">
      <alignment horizontal="center" vertical="center"/>
    </xf>
    <xf numFmtId="0" fontId="4" fillId="2" borderId="2" xfId="0" applyFont="1" applyFill="1" applyBorder="1" applyAlignment="1" applyProtection="1">
      <alignment vertical="top"/>
    </xf>
    <xf numFmtId="0" fontId="4" fillId="2" borderId="3" xfId="0" applyFont="1" applyFill="1" applyBorder="1" applyAlignment="1" applyProtection="1">
      <alignment vertical="top" wrapText="1"/>
    </xf>
    <xf numFmtId="0" fontId="4" fillId="2" borderId="4" xfId="0" applyFont="1" applyFill="1" applyBorder="1" applyAlignment="1" applyProtection="1">
      <alignment vertical="top" wrapText="1"/>
    </xf>
    <xf numFmtId="0" fontId="1" fillId="0" borderId="5" xfId="0" applyFont="1" applyBorder="1" applyProtection="1"/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3" fillId="0" borderId="7" xfId="1" applyNumberFormat="1" applyFont="1" applyBorder="1" applyAlignment="1" applyProtection="1">
      <alignment horizontal="right"/>
    </xf>
    <xf numFmtId="0" fontId="3" fillId="0" borderId="8" xfId="1" applyNumberFormat="1" applyFont="1" applyBorder="1" applyAlignment="1" applyProtection="1">
      <alignment horizontal="right"/>
    </xf>
    <xf numFmtId="0" fontId="3" fillId="0" borderId="9" xfId="1" applyNumberFormat="1" applyFont="1" applyBorder="1" applyAlignment="1" applyProtection="1">
      <alignment horizontal="right"/>
    </xf>
    <xf numFmtId="0" fontId="10" fillId="0" borderId="7" xfId="0" applyFont="1" applyFill="1" applyBorder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3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[qPCR_vba.xlsm]Result!mean_expr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Expression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Result!$C$16:$C$17</c:f>
              <c:strCache>
                <c:ptCount val="1"/>
                <c:pt idx="0">
                  <c:v>AURKA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5.2061588053759794E-2</c:v>
                </c:pt>
                <c:pt idx="1">
                  <c:v>0.10078330493506144</c:v>
                </c:pt>
                <c:pt idx="2">
                  <c:v>7.6370501692024237E-2</c:v>
                </c:pt>
              </c:numLit>
            </c:plus>
            <c:minus>
              <c:numLit>
                <c:formatCode>General</c:formatCode>
                <c:ptCount val="3"/>
                <c:pt idx="0">
                  <c:v>5.2061588053759794E-2</c:v>
                </c:pt>
                <c:pt idx="1">
                  <c:v>0.10078330493506144</c:v>
                </c:pt>
                <c:pt idx="2">
                  <c:v>7.6370501692024237E-2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Result!$C$18:$C$20</c:f>
              <c:numCache>
                <c:formatCode>General</c:formatCode>
                <c:ptCount val="3"/>
                <c:pt idx="0">
                  <c:v>1.0010390223442487</c:v>
                </c:pt>
                <c:pt idx="1">
                  <c:v>1.0242174852227781</c:v>
                </c:pt>
                <c:pt idx="2">
                  <c:v>0.92717997667917762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3-4CEB-96E8-8BF3C42D9549}"/>
            </c:ext>
          </c:extLst>
        </c:ser>
        <c:ser>
          <c:idx val="1"/>
          <c:order val="1"/>
          <c:tx>
            <c:strRef>
              <c:f>Result!$D$16:$D$17</c:f>
              <c:strCache>
                <c:ptCount val="1"/>
                <c:pt idx="0">
                  <c:v>CCNA2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5.9857109853740216E-2</c:v>
                </c:pt>
                <c:pt idx="1">
                  <c:v>2.6246834493002701E-2</c:v>
                </c:pt>
                <c:pt idx="2">
                  <c:v>2.320995133831516E-2</c:v>
                </c:pt>
              </c:numLit>
            </c:plus>
            <c:minus>
              <c:numLit>
                <c:formatCode>General</c:formatCode>
                <c:ptCount val="3"/>
                <c:pt idx="0">
                  <c:v>5.9857109853740216E-2</c:v>
                </c:pt>
                <c:pt idx="1">
                  <c:v>2.6246834493002701E-2</c:v>
                </c:pt>
                <c:pt idx="2">
                  <c:v>2.320995133831516E-2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Result!$D$18:$D$20</c:f>
              <c:numCache>
                <c:formatCode>General</c:formatCode>
                <c:ptCount val="3"/>
                <c:pt idx="0">
                  <c:v>1.0013031199471056</c:v>
                </c:pt>
                <c:pt idx="1">
                  <c:v>0.69398393393422086</c:v>
                </c:pt>
                <c:pt idx="2">
                  <c:v>0.47679067767075733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3-4CEB-96E8-8BF3C42D9549}"/>
            </c:ext>
          </c:extLst>
        </c:ser>
        <c:ser>
          <c:idx val="2"/>
          <c:order val="2"/>
          <c:tx>
            <c:strRef>
              <c:f>Result!$E$16:$E$17</c:f>
              <c:strCache>
                <c:ptCount val="1"/>
                <c:pt idx="0">
                  <c:v>CCND1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4.8959464025250143E-2</c:v>
                </c:pt>
                <c:pt idx="1">
                  <c:v>4.603829598080332E-3</c:v>
                </c:pt>
                <c:pt idx="2">
                  <c:v>6.2358262206166125E-3</c:v>
                </c:pt>
              </c:numLit>
            </c:plus>
            <c:minus>
              <c:numLit>
                <c:formatCode>General</c:formatCode>
                <c:ptCount val="3"/>
                <c:pt idx="0">
                  <c:v>4.8959464025250143E-2</c:v>
                </c:pt>
                <c:pt idx="1">
                  <c:v>4.603829598080332E-3</c:v>
                </c:pt>
                <c:pt idx="2">
                  <c:v>6.2358262206166125E-3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Result!$E$18:$E$20</c:f>
              <c:numCache>
                <c:formatCode>General</c:formatCode>
                <c:ptCount val="3"/>
                <c:pt idx="0">
                  <c:v>1.0009237943915046</c:v>
                </c:pt>
                <c:pt idx="1">
                  <c:v>0.37717750421807084</c:v>
                </c:pt>
                <c:pt idx="2">
                  <c:v>0.21848774977365651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3-4CEB-96E8-8BF3C42D9549}"/>
            </c:ext>
          </c:extLst>
        </c:ser>
        <c:ser>
          <c:idx val="3"/>
          <c:order val="3"/>
          <c:tx>
            <c:strRef>
              <c:f>Result!$F$16:$F$17</c:f>
              <c:strCache>
                <c:ptCount val="1"/>
                <c:pt idx="0">
                  <c:v>GTPBP4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0.13418940024352149</c:v>
                </c:pt>
                <c:pt idx="1">
                  <c:v>0.14013800024113593</c:v>
                </c:pt>
                <c:pt idx="2">
                  <c:v>8.4786977887163828E-2</c:v>
                </c:pt>
              </c:numLit>
            </c:plus>
            <c:minus>
              <c:numLit>
                <c:formatCode>General</c:formatCode>
                <c:ptCount val="3"/>
                <c:pt idx="0">
                  <c:v>0.13418940024352149</c:v>
                </c:pt>
                <c:pt idx="1">
                  <c:v>0.14013800024113593</c:v>
                </c:pt>
                <c:pt idx="2">
                  <c:v>8.4786977887163828E-2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Result!$F$18:$F$20</c:f>
              <c:numCache>
                <c:formatCode>General</c:formatCode>
                <c:ptCount val="3"/>
                <c:pt idx="0">
                  <c:v>1.0067098661957381</c:v>
                </c:pt>
                <c:pt idx="1">
                  <c:v>0.73742288090163788</c:v>
                </c:pt>
                <c:pt idx="2">
                  <c:v>0.59416795508661546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3-4CEB-96E8-8BF3C42D9549}"/>
            </c:ext>
          </c:extLst>
        </c:ser>
        <c:ser>
          <c:idx val="4"/>
          <c:order val="4"/>
          <c:tx>
            <c:strRef>
              <c:f>Result!$G$16:$G$17</c:f>
              <c:strCache>
                <c:ptCount val="1"/>
                <c:pt idx="0">
                  <c:v>MMP9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0.24172683447766477</c:v>
                </c:pt>
                <c:pt idx="1">
                  <c:v>1.3595163417155786E-2</c:v>
                </c:pt>
                <c:pt idx="2">
                  <c:v>#N/A</c:v>
                </c:pt>
              </c:numLit>
            </c:plus>
            <c:minus>
              <c:numLit>
                <c:formatCode>General</c:formatCode>
                <c:ptCount val="3"/>
                <c:pt idx="0">
                  <c:v>0.24172683447766477</c:v>
                </c:pt>
                <c:pt idx="1">
                  <c:v>1.3595163417155786E-2</c:v>
                </c:pt>
                <c:pt idx="2">
                  <c:v>#N/A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Result!$G$18:$G$20</c:f>
              <c:numCache>
                <c:formatCode>General</c:formatCode>
                <c:ptCount val="3"/>
                <c:pt idx="0">
                  <c:v>1.022596902667642</c:v>
                </c:pt>
                <c:pt idx="1">
                  <c:v>0.38101887488036046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3-4CEB-96E8-8BF3C42D9549}"/>
            </c:ext>
          </c:extLst>
        </c:ser>
        <c:ser>
          <c:idx val="5"/>
          <c:order val="5"/>
          <c:tx>
            <c:strRef>
              <c:f>Result!$H$16:$H$17</c:f>
              <c:strCache>
                <c:ptCount val="1"/>
                <c:pt idx="0">
                  <c:v>RhoA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5.0083932215530633E-2</c:v>
                </c:pt>
                <c:pt idx="1">
                  <c:v>4.4459844549252628E-2</c:v>
                </c:pt>
                <c:pt idx="2">
                  <c:v>0.15624432853585268</c:v>
                </c:pt>
              </c:numLit>
            </c:plus>
            <c:minus>
              <c:numLit>
                <c:formatCode>General</c:formatCode>
                <c:ptCount val="3"/>
                <c:pt idx="0">
                  <c:v>5.0083932215530633E-2</c:v>
                </c:pt>
                <c:pt idx="1">
                  <c:v>4.4459844549252628E-2</c:v>
                </c:pt>
                <c:pt idx="2">
                  <c:v>0.15624432853585268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Result!$H$18:$H$20</c:f>
              <c:numCache>
                <c:formatCode>General</c:formatCode>
                <c:ptCount val="3"/>
                <c:pt idx="0">
                  <c:v>1.0009353680703723</c:v>
                </c:pt>
                <c:pt idx="1">
                  <c:v>0.96452283958325646</c:v>
                </c:pt>
                <c:pt idx="2">
                  <c:v>1.0560484850153771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3-4CEB-96E8-8BF3C42D9549}"/>
            </c:ext>
          </c:extLst>
        </c:ser>
        <c:ser>
          <c:idx val="6"/>
          <c:order val="6"/>
          <c:tx>
            <c:strRef>
              <c:f>Result!$I$16:$I$17</c:f>
              <c:strCache>
                <c:ptCount val="1"/>
                <c:pt idx="0">
                  <c:v>SNRPD1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8.9079081294524007E-2</c:v>
                </c:pt>
                <c:pt idx="1">
                  <c:v>2.8463520355014853E-2</c:v>
                </c:pt>
                <c:pt idx="2">
                  <c:v>5.1110507120024733E-2</c:v>
                </c:pt>
              </c:numLit>
            </c:plus>
            <c:minus>
              <c:numLit>
                <c:formatCode>General</c:formatCode>
                <c:ptCount val="3"/>
                <c:pt idx="0">
                  <c:v>8.9079081294524007E-2</c:v>
                </c:pt>
                <c:pt idx="1">
                  <c:v>2.8463520355014853E-2</c:v>
                </c:pt>
                <c:pt idx="2">
                  <c:v>5.1110507120024733E-2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Result!$B$18:$B$20</c:f>
              <c:strCache>
                <c:ptCount val="3"/>
                <c:pt idx="0">
                  <c:v>Control</c:v>
                </c:pt>
                <c:pt idx="1">
                  <c:v>T1</c:v>
                </c:pt>
                <c:pt idx="2">
                  <c:v>T2</c:v>
                </c:pt>
              </c:strCache>
            </c:strRef>
          </c:cat>
          <c:val>
            <c:numRef>
              <c:f>Result!$I$18:$I$20</c:f>
              <c:numCache>
                <c:formatCode>General</c:formatCode>
                <c:ptCount val="3"/>
                <c:pt idx="0">
                  <c:v>1.0029543203133593</c:v>
                </c:pt>
                <c:pt idx="1">
                  <c:v>0.33398344936564839</c:v>
                </c:pt>
                <c:pt idx="2">
                  <c:v>0.29937730403875062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3-4CEB-96E8-8BF3C42D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50"/>
        <c:axId val="224687455"/>
        <c:axId val="378265359"/>
      </c:barChart>
      <c:catAx>
        <c:axId val="22468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8265359"/>
        <c:crosses val="autoZero"/>
        <c:auto val="1"/>
        <c:lblAlgn val="ctr"/>
        <c:lblOffset val="100"/>
        <c:noMultiLvlLbl val="0"/>
      </c:catAx>
      <c:valAx>
        <c:axId val="37826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68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142875</xdr:rowOff>
        </xdr:from>
        <xdr:to>
          <xdr:col>8</xdr:col>
          <xdr:colOff>819150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80"/>
                  </a:solidFill>
                  <a:latin typeface="等线"/>
                  <a:ea typeface="等线"/>
                </a:rPr>
                <a:t>计算相对表达量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542925</xdr:colOff>
      <xdr:row>13</xdr:row>
      <xdr:rowOff>23812</xdr:rowOff>
    </xdr:from>
    <xdr:to>
      <xdr:col>17</xdr:col>
      <xdr:colOff>114300</xdr:colOff>
      <xdr:row>28</xdr:row>
      <xdr:rowOff>52387</xdr:rowOff>
    </xdr:to>
    <xdr:graphicFrame macro="">
      <xdr:nvGraphicFramePr>
        <xdr:cNvPr id="2" nam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647.67072465278" createdVersion="3" refreshedVersion="6" minRefreshableVersion="3" recordCount="90">
  <cacheSource type="worksheet">
    <worksheetSource ref="A1:C91" sheet="Data"/>
  </cacheSource>
  <cacheFields count="3">
    <cacheField name="SampleName" numFmtId="0">
      <sharedItems count="3">
        <s v="Control"/>
        <s v="T1"/>
        <s v="T2"/>
      </sharedItems>
    </cacheField>
    <cacheField name="TargetName" numFmtId="0">
      <sharedItems count="8">
        <s v="GAPDH"/>
        <s v="SNRPD1"/>
        <s v="MMP9"/>
        <s v="RhoA"/>
        <s v="CCND1"/>
        <s v="CCNA2"/>
        <s v="AURKA"/>
        <s v="GTPBP4"/>
      </sharedItems>
    </cacheField>
    <cacheField name="Ct" numFmtId="0">
      <sharedItems containsSemiMixedTypes="0" containsString="0" containsNumber="1" minValue="14.730066584059999" maxValue="34.546237435586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3647.670727083336" createdVersion="3" refreshedVersion="6" minRefreshableVersion="3" recordCount="90">
  <cacheSource type="worksheet">
    <worksheetSource ref="A1:D91" sheet="Data"/>
  </cacheSource>
  <cacheFields count="4">
    <cacheField name="SampleName" numFmtId="0">
      <sharedItems count="3">
        <s v="Control"/>
        <s v="T1"/>
        <s v="T2"/>
      </sharedItems>
    </cacheField>
    <cacheField name="TargetName" numFmtId="0">
      <sharedItems count="8">
        <s v="GAPDH"/>
        <s v="SNRPD1"/>
        <s v="MMP9"/>
        <s v="RhoA"/>
        <s v="CCND1"/>
        <s v="CCNA2"/>
        <s v="AURKA"/>
        <s v="GTPBP4"/>
      </sharedItems>
    </cacheField>
    <cacheField name="Ct" numFmtId="0">
      <sharedItems containsSemiMixedTypes="0" containsString="0" containsNumber="1" minValue="14.730066584059999" maxValue="34.546237435586399"/>
    </cacheField>
    <cacheField name="dCt" numFmtId="176">
      <sharedItems containsSemiMixedTypes="0" containsString="0" containsNumber="1" minValue="-0.26613959449585245" maxValue="19.687359773412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3647.670729861115" createdVersion="3" refreshedVersion="6" minRefreshableVersion="3" recordCount="90">
  <cacheSource type="worksheet">
    <worksheetSource ref="A1:F91" sheet="Data"/>
  </cacheSource>
  <cacheFields count="6">
    <cacheField name="SampleName" numFmtId="0">
      <sharedItems count="3">
        <s v="Control"/>
        <s v="T1"/>
        <s v="T2"/>
      </sharedItems>
    </cacheField>
    <cacheField name="TargetName" numFmtId="0">
      <sharedItems count="8">
        <s v="GAPDH"/>
        <s v="SNRPD1"/>
        <s v="MMP9"/>
        <s v="RhoA"/>
        <s v="CCND1"/>
        <s v="CCNA2"/>
        <s v="AURKA"/>
        <s v="GTPBP4"/>
      </sharedItems>
    </cacheField>
    <cacheField name="Ct" numFmtId="0">
      <sharedItems containsSemiMixedTypes="0" containsString="0" containsNumber="1" minValue="14.730066584059999" maxValue="34.546237435586399"/>
    </cacheField>
    <cacheField name="dCt" numFmtId="176">
      <sharedItems containsSemiMixedTypes="0" containsString="0" containsNumber="1" minValue="-0.26613959449585245" maxValue="19.687359773412847"/>
    </cacheField>
    <cacheField name="ddCt" numFmtId="176">
      <sharedItems containsSemiMixedTypes="0" containsString="0" containsNumber="1" minValue="-0.3718229260229009" maxValue="2.2397959906785712"/>
    </cacheField>
    <cacheField name="expr" numFmtId="176">
      <sharedItems containsSemiMixedTypes="0" containsString="0" containsNumber="1" minValue="0.21171626445036251" maxValue="1.2939868229566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3647.670732060185" createdVersion="3" refreshedVersion="6" minRefreshableVersion="3" recordCount="90">
  <cacheSource type="worksheet">
    <worksheetSource ref="A1:F91" sheet="Data"/>
  </cacheSource>
  <cacheFields count="6">
    <cacheField name="SampleName" numFmtId="0">
      <sharedItems count="3">
        <s v="Control"/>
        <s v="T1"/>
        <s v="T2"/>
      </sharedItems>
    </cacheField>
    <cacheField name="TargetName" numFmtId="0">
      <sharedItems count="8">
        <s v="GAPDH"/>
        <s v="SNRPD1"/>
        <s v="MMP9"/>
        <s v="RhoA"/>
        <s v="CCND1"/>
        <s v="CCNA2"/>
        <s v="AURKA"/>
        <s v="GTPBP4"/>
      </sharedItems>
    </cacheField>
    <cacheField name="Ct" numFmtId="0">
      <sharedItems containsSemiMixedTypes="0" containsString="0" containsNumber="1" minValue="14.730066584059999" maxValue="34.546237435586399"/>
    </cacheField>
    <cacheField name="dCt" numFmtId="176">
      <sharedItems containsSemiMixedTypes="0" containsString="0" containsNumber="1" minValue="-0.26613959449585245" maxValue="19.687359773412847"/>
    </cacheField>
    <cacheField name="ddCt" numFmtId="176">
      <sharedItems containsSemiMixedTypes="0" containsString="0" containsNumber="1" minValue="-0.3718229260229009" maxValue="2.2397959906785712"/>
    </cacheField>
    <cacheField name="expr" numFmtId="176">
      <sharedItems containsSemiMixedTypes="0" containsString="0" containsNumber="1" minValue="0.21171626445036251" maxValue="1.2939868229566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x v="0"/>
    <x v="0"/>
    <n v="14.8811110763966"/>
  </r>
  <r>
    <x v="0"/>
    <x v="0"/>
    <n v="14.9125714961814"/>
  </r>
  <r>
    <x v="0"/>
    <x v="0"/>
    <n v="14.851159749170799"/>
  </r>
  <r>
    <x v="0"/>
    <x v="0"/>
    <n v="15.140664529505599"/>
  </r>
  <r>
    <x v="1"/>
    <x v="0"/>
    <n v="14.8271811573895"/>
  </r>
  <r>
    <x v="1"/>
    <x v="0"/>
    <n v="14.7838553492595"/>
  </r>
  <r>
    <x v="1"/>
    <x v="0"/>
    <n v="14.8784129512247"/>
  </r>
  <r>
    <x v="1"/>
    <x v="0"/>
    <n v="14.946061190820499"/>
  </r>
  <r>
    <x v="2"/>
    <x v="0"/>
    <n v="14.730066584059999"/>
  </r>
  <r>
    <x v="2"/>
    <x v="0"/>
    <n v="15.0680518325543"/>
  </r>
  <r>
    <x v="2"/>
    <x v="0"/>
    <n v="15.1842804747324"/>
  </r>
  <r>
    <x v="2"/>
    <x v="0"/>
    <n v="15.002425822876701"/>
  </r>
  <r>
    <x v="0"/>
    <x v="1"/>
    <n v="18.678818871160001"/>
  </r>
  <r>
    <x v="0"/>
    <x v="1"/>
    <n v="18.619472409574598"/>
  </r>
  <r>
    <x v="0"/>
    <x v="1"/>
    <n v="18.870271333160201"/>
  </r>
  <r>
    <x v="0"/>
    <x v="1"/>
    <n v="18.862736984572098"/>
  </r>
  <r>
    <x v="1"/>
    <x v="1"/>
    <n v="20.1726427295857"/>
  </r>
  <r>
    <x v="1"/>
    <x v="1"/>
    <n v="20.174009588580802"/>
  </r>
  <r>
    <x v="1"/>
    <x v="1"/>
    <n v="20.236788199808998"/>
  </r>
  <r>
    <x v="1"/>
    <x v="1"/>
    <n v="20.443025169734401"/>
  </r>
  <r>
    <x v="2"/>
    <x v="1"/>
    <n v="20.438724985230699"/>
  </r>
  <r>
    <x v="2"/>
    <x v="1"/>
    <n v="20.281685112906199"/>
  </r>
  <r>
    <x v="2"/>
    <x v="1"/>
    <n v="20.730853332067198"/>
  </r>
  <r>
    <x v="2"/>
    <x v="1"/>
    <n v="20.8018013437663"/>
  </r>
  <r>
    <x v="0"/>
    <x v="2"/>
    <n v="33.674549464099599"/>
  </r>
  <r>
    <x v="0"/>
    <x v="2"/>
    <n v="33.258783325881701"/>
  </r>
  <r>
    <x v="0"/>
    <x v="2"/>
    <n v="32.832981199119999"/>
  </r>
  <r>
    <x v="0"/>
    <x v="2"/>
    <n v="33.0529025114703"/>
  </r>
  <r>
    <x v="1"/>
    <x v="2"/>
    <n v="34.4734226362309"/>
  </r>
  <r>
    <x v="1"/>
    <x v="2"/>
    <n v="34.546237435586399"/>
  </r>
  <r>
    <x v="0"/>
    <x v="3"/>
    <n v="17.874845144228601"/>
  </r>
  <r>
    <x v="0"/>
    <x v="3"/>
    <n v="17.820387431248601"/>
  </r>
  <r>
    <x v="0"/>
    <x v="3"/>
    <n v="17.980554673117702"/>
  </r>
  <r>
    <x v="0"/>
    <x v="3"/>
    <n v="17.946940843503398"/>
  </r>
  <r>
    <x v="1"/>
    <x v="3"/>
    <n v="17.780042685734699"/>
  </r>
  <r>
    <x v="1"/>
    <x v="3"/>
    <n v="17.900204420087199"/>
  </r>
  <r>
    <x v="1"/>
    <x v="3"/>
    <n v="17.9325274558431"/>
  </r>
  <r>
    <x v="1"/>
    <x v="3"/>
    <n v="17.872924353260501"/>
  </r>
  <r>
    <x v="2"/>
    <x v="3"/>
    <n v="17.6100512166445"/>
  </r>
  <r>
    <x v="2"/>
    <x v="3"/>
    <n v="17.888300173231499"/>
  </r>
  <r>
    <x v="2"/>
    <x v="3"/>
    <n v="17.945004156726601"/>
  </r>
  <r>
    <x v="2"/>
    <x v="3"/>
    <n v="18.109698903262199"/>
  </r>
  <r>
    <x v="0"/>
    <x v="4"/>
    <n v="19.2053544204283"/>
  </r>
  <r>
    <x v="0"/>
    <x v="4"/>
    <n v="19.199630084929399"/>
  </r>
  <r>
    <x v="0"/>
    <x v="4"/>
    <n v="19.1685989759542"/>
  </r>
  <r>
    <x v="0"/>
    <x v="4"/>
    <n v="19.331736728380001"/>
  </r>
  <r>
    <x v="1"/>
    <x v="4"/>
    <n v="20.528712060251301"/>
  </r>
  <r>
    <x v="1"/>
    <x v="4"/>
    <n v="20.5499362884512"/>
  </r>
  <r>
    <x v="1"/>
    <x v="4"/>
    <n v="20.568481465839501"/>
  </r>
  <r>
    <x v="1"/>
    <x v="4"/>
    <n v="20.535255444621601"/>
  </r>
  <r>
    <x v="2"/>
    <x v="4"/>
    <n v="21.426488058529898"/>
  </r>
  <r>
    <x v="2"/>
    <x v="4"/>
    <n v="21.4940417564152"/>
  </r>
  <r>
    <x v="2"/>
    <x v="4"/>
    <n v="21.447419050052801"/>
  </r>
  <r>
    <x v="2"/>
    <x v="4"/>
    <n v="21.515955508843799"/>
  </r>
  <r>
    <x v="0"/>
    <x v="5"/>
    <n v="23.501653442213101"/>
  </r>
  <r>
    <x v="0"/>
    <x v="5"/>
    <n v="23.343573334985201"/>
  </r>
  <r>
    <x v="0"/>
    <x v="5"/>
    <n v="23.536675890701702"/>
  </r>
  <r>
    <x v="0"/>
    <x v="5"/>
    <n v="23.477228802270801"/>
  </r>
  <r>
    <x v="1"/>
    <x v="5"/>
    <n v="23.946066138924198"/>
  </r>
  <r>
    <x v="1"/>
    <x v="5"/>
    <n v="23.8311600162269"/>
  </r>
  <r>
    <x v="1"/>
    <x v="5"/>
    <n v="23.898530153585298"/>
  </r>
  <r>
    <x v="1"/>
    <x v="5"/>
    <n v="23.944534171768201"/>
  </r>
  <r>
    <x v="2"/>
    <x v="5"/>
    <n v="24.612858267208999"/>
  </r>
  <r>
    <x v="2"/>
    <x v="5"/>
    <n v="24.493124666452001"/>
  </r>
  <r>
    <x v="2"/>
    <x v="5"/>
    <n v="24.574505048022701"/>
  </r>
  <r>
    <x v="2"/>
    <x v="5"/>
    <n v="24.657321941375098"/>
  </r>
  <r>
    <x v="0"/>
    <x v="6"/>
    <n v="28.6316104260471"/>
  </r>
  <r>
    <x v="0"/>
    <x v="6"/>
    <n v="28.6869728327618"/>
  </r>
  <r>
    <x v="0"/>
    <x v="6"/>
    <n v="28.811508865947399"/>
  </r>
  <r>
    <x v="0"/>
    <x v="6"/>
    <n v="28.6837511206793"/>
  </r>
  <r>
    <x v="1"/>
    <x v="6"/>
    <n v="28.535040424906999"/>
  </r>
  <r>
    <x v="1"/>
    <x v="6"/>
    <n v="28.5709919688755"/>
  </r>
  <r>
    <x v="1"/>
    <x v="6"/>
    <n v="28.793075032118001"/>
  </r>
  <r>
    <x v="1"/>
    <x v="6"/>
    <n v="28.448547200813099"/>
  </r>
  <r>
    <x v="2"/>
    <x v="6"/>
    <n v="28.828208281345201"/>
  </r>
  <r>
    <x v="2"/>
    <x v="6"/>
    <n v="29.049813194871"/>
  </r>
  <r>
    <x v="2"/>
    <x v="6"/>
    <n v="28.805175517632801"/>
  </r>
  <r>
    <x v="2"/>
    <x v="6"/>
    <n v="28.781794147554301"/>
  </r>
  <r>
    <x v="0"/>
    <x v="7"/>
    <n v="23.917713071511699"/>
  </r>
  <r>
    <x v="0"/>
    <x v="7"/>
    <n v="23.969114360264101"/>
  </r>
  <r>
    <x v="0"/>
    <x v="7"/>
    <n v="24.2790053520886"/>
  </r>
  <r>
    <x v="0"/>
    <x v="7"/>
    <n v="24.271438473316099"/>
  </r>
  <r>
    <x v="1"/>
    <x v="7"/>
    <n v="24.108699661509199"/>
  </r>
  <r>
    <x v="1"/>
    <x v="7"/>
    <n v="24.514132883184899"/>
  </r>
  <r>
    <x v="1"/>
    <x v="7"/>
    <n v="24.603327254780901"/>
  </r>
  <r>
    <x v="1"/>
    <x v="7"/>
    <n v="24.690717221592699"/>
  </r>
  <r>
    <x v="2"/>
    <x v="7"/>
    <n v="24.748017911666601"/>
  </r>
  <r>
    <x v="2"/>
    <x v="7"/>
    <n v="24.743395174012001"/>
  </r>
  <r>
    <x v="2"/>
    <x v="7"/>
    <n v="25.0364828059448"/>
  </r>
  <r>
    <x v="2"/>
    <x v="7"/>
    <n v="25.1578788609456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0">
  <r>
    <x v="0"/>
    <x v="0"/>
    <n v="14.8811110763966"/>
    <n v="-6.5265636416999229E-2"/>
  </r>
  <r>
    <x v="0"/>
    <x v="0"/>
    <n v="14.9125714961814"/>
    <n v="-3.3805216632199375E-2"/>
  </r>
  <r>
    <x v="0"/>
    <x v="0"/>
    <n v="14.851159749170799"/>
    <n v="-9.5216963642799968E-2"/>
  </r>
  <r>
    <x v="0"/>
    <x v="0"/>
    <n v="15.140664529505599"/>
    <n v="0.19428781669200035"/>
  </r>
  <r>
    <x v="1"/>
    <x v="0"/>
    <n v="14.8271811573895"/>
    <n v="-3.1696504784051172E-2"/>
  </r>
  <r>
    <x v="1"/>
    <x v="0"/>
    <n v="14.7838553492595"/>
    <n v="-7.5022312914050815E-2"/>
  </r>
  <r>
    <x v="1"/>
    <x v="0"/>
    <n v="14.8784129512247"/>
    <n v="1.9535289051148652E-2"/>
  </r>
  <r>
    <x v="1"/>
    <x v="0"/>
    <n v="14.946061190820499"/>
    <n v="8.7183528646948005E-2"/>
  </r>
  <r>
    <x v="2"/>
    <x v="0"/>
    <n v="14.730066584059999"/>
    <n v="-0.26613959449585245"/>
  </r>
  <r>
    <x v="2"/>
    <x v="0"/>
    <n v="15.0680518325543"/>
    <n v="7.1845653998448E-2"/>
  </r>
  <r>
    <x v="2"/>
    <x v="0"/>
    <n v="15.1842804747324"/>
    <n v="0.18807429617654847"/>
  </r>
  <r>
    <x v="2"/>
    <x v="0"/>
    <n v="15.002425822876701"/>
    <n v="6.2196443208488716E-3"/>
  </r>
  <r>
    <x v="0"/>
    <x v="1"/>
    <n v="18.678818871160001"/>
    <n v="3.7324421583464016"/>
  </r>
  <r>
    <x v="0"/>
    <x v="1"/>
    <n v="18.619472409574598"/>
    <n v="3.6730956967609991"/>
  </r>
  <r>
    <x v="0"/>
    <x v="1"/>
    <n v="18.870271333160201"/>
    <n v="3.9238946203466014"/>
  </r>
  <r>
    <x v="0"/>
    <x v="1"/>
    <n v="18.862736984572098"/>
    <n v="3.9163602717584993"/>
  </r>
  <r>
    <x v="1"/>
    <x v="1"/>
    <n v="20.1726427295857"/>
    <n v="5.3137650674121488"/>
  </r>
  <r>
    <x v="1"/>
    <x v="1"/>
    <n v="20.174009588580802"/>
    <n v="5.3151319264072505"/>
  </r>
  <r>
    <x v="1"/>
    <x v="1"/>
    <n v="20.236788199808998"/>
    <n v="5.3779105376354472"/>
  </r>
  <r>
    <x v="1"/>
    <x v="1"/>
    <n v="20.443025169734401"/>
    <n v="5.58414750756085"/>
  </r>
  <r>
    <x v="2"/>
    <x v="1"/>
    <n v="20.438724985230699"/>
    <n v="5.4425188066748476"/>
  </r>
  <r>
    <x v="2"/>
    <x v="1"/>
    <n v="20.281685112906199"/>
    <n v="5.2854789343503477"/>
  </r>
  <r>
    <x v="2"/>
    <x v="1"/>
    <n v="20.730853332067198"/>
    <n v="5.7346471535113466"/>
  </r>
  <r>
    <x v="2"/>
    <x v="1"/>
    <n v="20.8018013437663"/>
    <n v="5.8055951652104483"/>
  </r>
  <r>
    <x v="0"/>
    <x v="2"/>
    <n v="33.674549464099599"/>
    <n v="18.728172751285999"/>
  </r>
  <r>
    <x v="0"/>
    <x v="2"/>
    <n v="33.258783325881701"/>
    <n v="18.312406613068102"/>
  </r>
  <r>
    <x v="0"/>
    <x v="2"/>
    <n v="32.832981199119999"/>
    <n v="17.8866044863064"/>
  </r>
  <r>
    <x v="0"/>
    <x v="2"/>
    <n v="33.0529025114703"/>
    <n v="18.106525798656701"/>
  </r>
  <r>
    <x v="1"/>
    <x v="2"/>
    <n v="34.4734226362309"/>
    <n v="19.614544974057349"/>
  </r>
  <r>
    <x v="1"/>
    <x v="2"/>
    <n v="34.546237435586399"/>
    <n v="19.687359773412847"/>
  </r>
  <r>
    <x v="0"/>
    <x v="3"/>
    <n v="17.874845144228601"/>
    <n v="2.928468431415002"/>
  </r>
  <r>
    <x v="0"/>
    <x v="3"/>
    <n v="17.820387431248601"/>
    <n v="2.8740107184350023"/>
  </r>
  <r>
    <x v="0"/>
    <x v="3"/>
    <n v="17.980554673117702"/>
    <n v="3.0341779603041026"/>
  </r>
  <r>
    <x v="0"/>
    <x v="3"/>
    <n v="17.946940843503398"/>
    <n v="3.0005641306897992"/>
  </r>
  <r>
    <x v="1"/>
    <x v="3"/>
    <n v="17.780042685734699"/>
    <n v="2.9211650235611479"/>
  </r>
  <r>
    <x v="1"/>
    <x v="3"/>
    <n v="17.900204420087199"/>
    <n v="3.041326757913648"/>
  </r>
  <r>
    <x v="1"/>
    <x v="3"/>
    <n v="17.9325274558431"/>
    <n v="3.0736497936695493"/>
  </r>
  <r>
    <x v="1"/>
    <x v="3"/>
    <n v="17.872924353260501"/>
    <n v="3.0140466910869499"/>
  </r>
  <r>
    <x v="2"/>
    <x v="3"/>
    <n v="17.6100512166445"/>
    <n v="2.6138450380886482"/>
  </r>
  <r>
    <x v="2"/>
    <x v="3"/>
    <n v="17.888300173231499"/>
    <n v="2.8920939946756477"/>
  </r>
  <r>
    <x v="2"/>
    <x v="3"/>
    <n v="17.945004156726601"/>
    <n v="2.9487979781707487"/>
  </r>
  <r>
    <x v="2"/>
    <x v="3"/>
    <n v="18.109698903262199"/>
    <n v="3.1134927247063473"/>
  </r>
  <r>
    <x v="0"/>
    <x v="4"/>
    <n v="19.2053544204283"/>
    <n v="4.2589777076147008"/>
  </r>
  <r>
    <x v="0"/>
    <x v="4"/>
    <n v="19.199630084929399"/>
    <n v="4.2532533721158003"/>
  </r>
  <r>
    <x v="0"/>
    <x v="4"/>
    <n v="19.1685989759542"/>
    <n v="4.2222222631406012"/>
  </r>
  <r>
    <x v="0"/>
    <x v="4"/>
    <n v="19.331736728380001"/>
    <n v="4.3853600155664019"/>
  </r>
  <r>
    <x v="1"/>
    <x v="4"/>
    <n v="20.528712060251301"/>
    <n v="5.6698343980777501"/>
  </r>
  <r>
    <x v="1"/>
    <x v="4"/>
    <n v="20.5499362884512"/>
    <n v="5.6910586262776484"/>
  </r>
  <r>
    <x v="1"/>
    <x v="4"/>
    <n v="20.568481465839501"/>
    <n v="5.7096038036659493"/>
  </r>
  <r>
    <x v="1"/>
    <x v="4"/>
    <n v="20.535255444621601"/>
    <n v="5.6763777824480499"/>
  </r>
  <r>
    <x v="2"/>
    <x v="4"/>
    <n v="21.426488058529898"/>
    <n v="6.4302818799740464"/>
  </r>
  <r>
    <x v="2"/>
    <x v="4"/>
    <n v="21.4940417564152"/>
    <n v="6.4978355778593482"/>
  </r>
  <r>
    <x v="2"/>
    <x v="4"/>
    <n v="21.447419050052801"/>
    <n v="6.4512128714969492"/>
  </r>
  <r>
    <x v="2"/>
    <x v="4"/>
    <n v="21.515955508843799"/>
    <n v="6.5197493302879472"/>
  </r>
  <r>
    <x v="0"/>
    <x v="5"/>
    <n v="23.501653442213101"/>
    <n v="8.5552767293995018"/>
  </r>
  <r>
    <x v="0"/>
    <x v="5"/>
    <n v="23.343573334985201"/>
    <n v="8.3971966221716023"/>
  </r>
  <r>
    <x v="0"/>
    <x v="5"/>
    <n v="23.536675890701702"/>
    <n v="8.5902991778881024"/>
  </r>
  <r>
    <x v="0"/>
    <x v="5"/>
    <n v="23.477228802270801"/>
    <n v="8.530852089457202"/>
  </r>
  <r>
    <x v="1"/>
    <x v="5"/>
    <n v="23.946066138924198"/>
    <n v="9.0871884767506472"/>
  </r>
  <r>
    <x v="1"/>
    <x v="5"/>
    <n v="23.8311600162269"/>
    <n v="8.9722823540533483"/>
  </r>
  <r>
    <x v="1"/>
    <x v="5"/>
    <n v="23.898530153585298"/>
    <n v="9.0396524914117471"/>
  </r>
  <r>
    <x v="1"/>
    <x v="5"/>
    <n v="23.944534171768201"/>
    <n v="9.0856565095946493"/>
  </r>
  <r>
    <x v="2"/>
    <x v="5"/>
    <n v="24.612858267208999"/>
    <n v="9.6166520886531472"/>
  </r>
  <r>
    <x v="2"/>
    <x v="5"/>
    <n v="24.493124666452001"/>
    <n v="9.4969184878961492"/>
  </r>
  <r>
    <x v="2"/>
    <x v="5"/>
    <n v="24.574505048022701"/>
    <n v="9.5782988694668489"/>
  </r>
  <r>
    <x v="2"/>
    <x v="5"/>
    <n v="24.657321941375098"/>
    <n v="9.6611157628192466"/>
  </r>
  <r>
    <x v="0"/>
    <x v="6"/>
    <n v="28.6316104260471"/>
    <n v="13.685233713233501"/>
  </r>
  <r>
    <x v="0"/>
    <x v="6"/>
    <n v="28.6869728327618"/>
    <n v="13.740596119948201"/>
  </r>
  <r>
    <x v="0"/>
    <x v="6"/>
    <n v="28.811508865947399"/>
    <n v="13.8651321531338"/>
  </r>
  <r>
    <x v="0"/>
    <x v="6"/>
    <n v="28.6837511206793"/>
    <n v="13.737374407865701"/>
  </r>
  <r>
    <x v="1"/>
    <x v="6"/>
    <n v="28.535040424906999"/>
    <n v="13.676162762733448"/>
  </r>
  <r>
    <x v="1"/>
    <x v="6"/>
    <n v="28.5709919688755"/>
    <n v="13.712114306701949"/>
  </r>
  <r>
    <x v="1"/>
    <x v="6"/>
    <n v="28.793075032118001"/>
    <n v="13.934197369944449"/>
  </r>
  <r>
    <x v="1"/>
    <x v="6"/>
    <n v="28.448547200813099"/>
    <n v="13.589669538639548"/>
  </r>
  <r>
    <x v="2"/>
    <x v="6"/>
    <n v="28.828208281345201"/>
    <n v="13.83200210278935"/>
  </r>
  <r>
    <x v="2"/>
    <x v="6"/>
    <n v="29.049813194871"/>
    <n v="14.053607016315148"/>
  </r>
  <r>
    <x v="2"/>
    <x v="6"/>
    <n v="28.805175517632801"/>
    <n v="13.808969339076949"/>
  </r>
  <r>
    <x v="2"/>
    <x v="6"/>
    <n v="28.781794147554301"/>
    <n v="13.785587968998449"/>
  </r>
  <r>
    <x v="0"/>
    <x v="7"/>
    <n v="23.917713071511699"/>
    <n v="8.9713363586980996"/>
  </r>
  <r>
    <x v="0"/>
    <x v="7"/>
    <n v="23.969114360264101"/>
    <n v="9.0227376474505014"/>
  </r>
  <r>
    <x v="0"/>
    <x v="7"/>
    <n v="24.2790053520886"/>
    <n v="9.3326286392750006"/>
  </r>
  <r>
    <x v="0"/>
    <x v="7"/>
    <n v="24.271438473316099"/>
    <n v="9.3250617605024999"/>
  </r>
  <r>
    <x v="1"/>
    <x v="7"/>
    <n v="24.108699661509199"/>
    <n v="9.2498219993356479"/>
  </r>
  <r>
    <x v="1"/>
    <x v="7"/>
    <n v="24.514132883184899"/>
    <n v="9.6552552210113483"/>
  </r>
  <r>
    <x v="1"/>
    <x v="7"/>
    <n v="24.603327254780901"/>
    <n v="9.7444495926073493"/>
  </r>
  <r>
    <x v="1"/>
    <x v="7"/>
    <n v="24.690717221592699"/>
    <n v="9.8318395594191479"/>
  </r>
  <r>
    <x v="2"/>
    <x v="7"/>
    <n v="24.748017911666601"/>
    <n v="9.751811733110749"/>
  </r>
  <r>
    <x v="2"/>
    <x v="7"/>
    <n v="24.743395174012001"/>
    <n v="9.747188995456149"/>
  </r>
  <r>
    <x v="2"/>
    <x v="7"/>
    <n v="25.0364828059448"/>
    <n v="10.040276627388948"/>
  </r>
  <r>
    <x v="2"/>
    <x v="7"/>
    <n v="25.157878860945601"/>
    <n v="10.16167268238974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0">
  <r>
    <x v="0"/>
    <x v="0"/>
    <n v="14.8811110763966"/>
    <n v="-6.5265636416999229E-2"/>
    <n v="-6.5265636416999673E-2"/>
    <n v="1.0462775680550263"/>
  </r>
  <r>
    <x v="0"/>
    <x v="0"/>
    <n v="14.9125714961814"/>
    <n v="-3.3805216632199375E-2"/>
    <n v="-3.3805216632199819E-2"/>
    <n v="1.0237086765629908"/>
  </r>
  <r>
    <x v="0"/>
    <x v="0"/>
    <n v="14.851159749170799"/>
    <n v="-9.5216963642799968E-2"/>
    <n v="-9.5216963642800412E-2"/>
    <n v="1.0682260440663878"/>
  </r>
  <r>
    <x v="0"/>
    <x v="0"/>
    <n v="15.140664529505599"/>
    <n v="0.19428781669200035"/>
    <n v="0.1942878166919999"/>
    <n v="0.87400423975753416"/>
  </r>
  <r>
    <x v="1"/>
    <x v="0"/>
    <n v="14.8271811573895"/>
    <n v="-3.1696504784051172E-2"/>
    <n v="-3.1696504784051616E-2"/>
    <n v="1.0222134681590656"/>
  </r>
  <r>
    <x v="1"/>
    <x v="0"/>
    <n v="14.7838553492595"/>
    <n v="-7.5022312914050815E-2"/>
    <n v="-7.5022312914051259E-2"/>
    <n v="1.0533773275031877"/>
  </r>
  <r>
    <x v="1"/>
    <x v="0"/>
    <n v="14.8784129512247"/>
    <n v="1.9535289051148652E-2"/>
    <n v="1.9535289051148208E-2"/>
    <n v="0.98655043412100552"/>
  </r>
  <r>
    <x v="1"/>
    <x v="0"/>
    <n v="14.946061190820499"/>
    <n v="8.7183528646948005E-2"/>
    <n v="8.7183528646947561E-2"/>
    <n v="0.9413587044575471"/>
  </r>
  <r>
    <x v="2"/>
    <x v="0"/>
    <n v="14.730066584059999"/>
    <n v="-0.26613959449585245"/>
    <n v="-0.26613959449585289"/>
    <n v="1.2025856048881947"/>
  </r>
  <r>
    <x v="2"/>
    <x v="0"/>
    <n v="15.0680518325543"/>
    <n v="7.1845653998448E-2"/>
    <n v="7.1845653998447556E-2"/>
    <n v="0.95142005808238184"/>
  </r>
  <r>
    <x v="2"/>
    <x v="0"/>
    <n v="15.1842804747324"/>
    <n v="0.18807429617654847"/>
    <n v="0.18807429617654803"/>
    <n v="0.87777659254392437"/>
  </r>
  <r>
    <x v="2"/>
    <x v="0"/>
    <n v="15.002425822876701"/>
    <n v="6.2196443208488716E-3"/>
    <n v="6.2196443208484276E-3"/>
    <n v="0.9956981506512832"/>
  </r>
  <r>
    <x v="0"/>
    <x v="1"/>
    <n v="18.678818871160001"/>
    <n v="3.7324421583464016"/>
    <n v="-7.9006028456723776E-2"/>
    <n v="1.0562900391644123"/>
  </r>
  <r>
    <x v="0"/>
    <x v="1"/>
    <n v="18.619472409574598"/>
    <n v="3.6730956967609991"/>
    <n v="-0.13835249004212624"/>
    <n v="1.1006474949443019"/>
  </r>
  <r>
    <x v="0"/>
    <x v="1"/>
    <n v="18.870271333160201"/>
    <n v="3.9238946203466014"/>
    <n v="0.11244643354347605"/>
    <n v="0.92501814229081558"/>
  </r>
  <r>
    <x v="0"/>
    <x v="1"/>
    <n v="18.862736984572098"/>
    <n v="3.9163602717584993"/>
    <n v="0.10491208495537396"/>
    <n v="0.92986160485390768"/>
  </r>
  <r>
    <x v="1"/>
    <x v="1"/>
    <n v="20.1726427295857"/>
    <n v="5.3137650674121488"/>
    <n v="1.5023168806090235"/>
    <n v="0.35298606099253454"/>
  </r>
  <r>
    <x v="1"/>
    <x v="1"/>
    <n v="20.174009588580802"/>
    <n v="5.3151319264072505"/>
    <n v="1.5036837396041252"/>
    <n v="0.35265178821069781"/>
  </r>
  <r>
    <x v="1"/>
    <x v="1"/>
    <n v="20.236788199808998"/>
    <n v="5.3779105376354472"/>
    <n v="1.5664623508323219"/>
    <n v="0.33763529938631992"/>
  </r>
  <r>
    <x v="1"/>
    <x v="1"/>
    <n v="20.443025169734401"/>
    <n v="5.58414750756085"/>
    <n v="1.7726993207577246"/>
    <n v="0.29266064887304111"/>
  </r>
  <r>
    <x v="2"/>
    <x v="1"/>
    <n v="20.438724985230699"/>
    <n v="5.4425188066748476"/>
    <n v="1.6310706198717222"/>
    <n v="0.32284853376436867"/>
  </r>
  <r>
    <x v="2"/>
    <x v="1"/>
    <n v="20.281685112906199"/>
    <n v="5.2854789343503477"/>
    <n v="1.4740307475472223"/>
    <n v="0.35997515754913267"/>
  </r>
  <r>
    <x v="2"/>
    <x v="1"/>
    <n v="20.730853332067198"/>
    <n v="5.7346471535113466"/>
    <n v="1.9231989667082212"/>
    <n v="0.26366921329106974"/>
  </r>
  <r>
    <x v="2"/>
    <x v="1"/>
    <n v="20.8018013437663"/>
    <n v="5.8055951652104483"/>
    <n v="1.9941469784073229"/>
    <n v="0.25101631155043136"/>
  </r>
  <r>
    <x v="0"/>
    <x v="2"/>
    <n v="33.674549464099599"/>
    <n v="18.728172751285999"/>
    <n v="0.46974533895669879"/>
    <n v="0.72209204845620933"/>
  </r>
  <r>
    <x v="0"/>
    <x v="2"/>
    <n v="33.258783325881701"/>
    <n v="18.312406613068102"/>
    <n v="5.397920073880158E-2"/>
    <n v="0.96327578141810233"/>
  </r>
  <r>
    <x v="0"/>
    <x v="2"/>
    <n v="32.832981199119999"/>
    <n v="17.8866044863064"/>
    <n v="-0.3718229260229009"/>
    <n v="1.2939868229566212"/>
  </r>
  <r>
    <x v="0"/>
    <x v="2"/>
    <n v="33.0529025114703"/>
    <n v="18.106525798656701"/>
    <n v="-0.15190161367259947"/>
    <n v="1.1110329578396347"/>
  </r>
  <r>
    <x v="1"/>
    <x v="2"/>
    <n v="34.4734226362309"/>
    <n v="19.614544974057349"/>
    <n v="1.3561175617280483"/>
    <n v="0.39063210712396873"/>
  </r>
  <r>
    <x v="1"/>
    <x v="2"/>
    <n v="34.546237435586399"/>
    <n v="19.687359773412847"/>
    <n v="1.4289323610835467"/>
    <n v="0.37140564263675224"/>
  </r>
  <r>
    <x v="0"/>
    <x v="3"/>
    <n v="17.874845144228601"/>
    <n v="2.928468431415002"/>
    <n v="-3.0836878795974521E-2"/>
    <n v="1.0216045664176554"/>
  </r>
  <r>
    <x v="0"/>
    <x v="3"/>
    <n v="17.820387431248601"/>
    <n v="2.8740107184350023"/>
    <n v="-8.5294591775974204E-2"/>
    <n v="1.0609043511029592"/>
  </r>
  <r>
    <x v="0"/>
    <x v="3"/>
    <n v="17.980554673117702"/>
    <n v="3.0341779603041026"/>
    <n v="7.4872650093126047E-2"/>
    <n v="0.94942592519425795"/>
  </r>
  <r>
    <x v="0"/>
    <x v="3"/>
    <n v="17.946940843503398"/>
    <n v="3.0005641306897992"/>
    <n v="4.1258820478822678E-2"/>
    <n v="0.97180662956661645"/>
  </r>
  <r>
    <x v="1"/>
    <x v="3"/>
    <n v="17.780042685734699"/>
    <n v="2.9211650235611479"/>
    <n v="-3.8140286649828603E-2"/>
    <n v="1.0267893851425078"/>
  </r>
  <r>
    <x v="1"/>
    <x v="3"/>
    <n v="17.900204420087199"/>
    <n v="3.041326757913648"/>
    <n v="8.2021447702671502E-2"/>
    <n v="0.94473299610036721"/>
  </r>
  <r>
    <x v="1"/>
    <x v="3"/>
    <n v="17.9325274558431"/>
    <n v="3.0736497936695493"/>
    <n v="0.11434448345857273"/>
    <n v="0.92380196276644722"/>
  </r>
  <r>
    <x v="1"/>
    <x v="3"/>
    <n v="17.872924353260501"/>
    <n v="3.0140466910869499"/>
    <n v="5.4741380875973356E-2"/>
    <n v="0.96276701432370337"/>
  </r>
  <r>
    <x v="2"/>
    <x v="3"/>
    <n v="17.6100512166445"/>
    <n v="2.6138450380886482"/>
    <n v="-0.34546027212232833"/>
    <n v="1.2705562714865444"/>
  </r>
  <r>
    <x v="2"/>
    <x v="3"/>
    <n v="17.888300173231499"/>
    <n v="2.8920939946756477"/>
    <n v="-6.7211315535328886E-2"/>
    <n v="1.0476895738530236"/>
  </r>
  <r>
    <x v="2"/>
    <x v="3"/>
    <n v="17.945004156726601"/>
    <n v="2.9487979781707487"/>
    <n v="-1.0507332040227801E-2"/>
    <n v="1.0073097140576024"/>
  </r>
  <r>
    <x v="2"/>
    <x v="3"/>
    <n v="18.109698903262199"/>
    <n v="3.1134927247063473"/>
    <n v="0.15418741449537077"/>
    <n v="0.8986383806643371"/>
  </r>
  <r>
    <x v="0"/>
    <x v="4"/>
    <n v="19.2053544204283"/>
    <n v="4.2589777076147008"/>
    <n v="-2.0975631994675226E-2"/>
    <n v="1.0146454084520136"/>
  </r>
  <r>
    <x v="0"/>
    <x v="4"/>
    <n v="19.199630084929399"/>
    <n v="4.2532533721158003"/>
    <n v="-2.6699967493575727E-2"/>
    <n v="1.0186793232233327"/>
  </r>
  <r>
    <x v="0"/>
    <x v="4"/>
    <n v="19.1685989759542"/>
    <n v="4.2222222631406012"/>
    <n v="-5.7731076468774845E-2"/>
    <n v="1.0408275656083845"/>
  </r>
  <r>
    <x v="0"/>
    <x v="4"/>
    <n v="19.331736728380001"/>
    <n v="4.3853600155664019"/>
    <n v="0.1054066759570258"/>
    <n v="0.92954288028228738"/>
  </r>
  <r>
    <x v="1"/>
    <x v="4"/>
    <n v="20.528712060251301"/>
    <n v="5.6698343980777501"/>
    <n v="1.3898810584683741"/>
    <n v="0.38159626126063473"/>
  </r>
  <r>
    <x v="1"/>
    <x v="4"/>
    <n v="20.5499362884512"/>
    <n v="5.6910586262776484"/>
    <n v="1.4111052866682723"/>
    <n v="0.37602349496803095"/>
  </r>
  <r>
    <x v="1"/>
    <x v="4"/>
    <n v="20.568481465839501"/>
    <n v="5.7096038036659493"/>
    <n v="1.4296504640565733"/>
    <n v="0.37122082108911914"/>
  </r>
  <r>
    <x v="1"/>
    <x v="4"/>
    <n v="20.535255444621601"/>
    <n v="5.6763777824480499"/>
    <n v="1.3964244428386738"/>
    <n v="0.37986943955449831"/>
  </r>
  <r>
    <x v="2"/>
    <x v="4"/>
    <n v="21.426488058529898"/>
    <n v="6.4302818799740464"/>
    <n v="2.1503285403646704"/>
    <n v="0.22526131176741296"/>
  </r>
  <r>
    <x v="2"/>
    <x v="4"/>
    <n v="21.4940417564152"/>
    <n v="6.4978355778593482"/>
    <n v="2.2178822382499721"/>
    <n v="0.21495666694592358"/>
  </r>
  <r>
    <x v="2"/>
    <x v="4"/>
    <n v="21.447419050052801"/>
    <n v="6.4512128714969492"/>
    <n v="2.1712595318875731"/>
    <n v="0.22201675593092696"/>
  </r>
  <r>
    <x v="2"/>
    <x v="4"/>
    <n v="21.515955508843799"/>
    <n v="6.5197493302879472"/>
    <n v="2.2397959906785712"/>
    <n v="0.21171626445036251"/>
  </r>
  <r>
    <x v="0"/>
    <x v="5"/>
    <n v="23.501653442213101"/>
    <n v="8.5552767293995018"/>
    <n v="3.6870574670398781E-2"/>
    <n v="0.97476707410546948"/>
  </r>
  <r>
    <x v="0"/>
    <x v="5"/>
    <n v="23.343573334985201"/>
    <n v="8.3971966221716023"/>
    <n v="-0.12120953255750067"/>
    <n v="1.0876463457693157"/>
  </r>
  <r>
    <x v="0"/>
    <x v="5"/>
    <n v="23.536675890701702"/>
    <n v="8.5902991778881024"/>
    <n v="7.189302315899937E-2"/>
    <n v="0.95138881985923829"/>
  </r>
  <r>
    <x v="0"/>
    <x v="5"/>
    <n v="23.477228802270801"/>
    <n v="8.530852089457202"/>
    <n v="1.2445934728098962E-2"/>
    <n v="0.99141024005439904"/>
  </r>
  <r>
    <x v="1"/>
    <x v="5"/>
    <n v="23.946066138924198"/>
    <n v="9.0871884767506472"/>
    <n v="0.56878232202154422"/>
    <n v="0.67418558125493655"/>
  </r>
  <r>
    <x v="1"/>
    <x v="5"/>
    <n v="23.8311600162269"/>
    <n v="8.9722823540533483"/>
    <n v="0.45387619932424528"/>
    <n v="0.73007865221382917"/>
  </r>
  <r>
    <x v="1"/>
    <x v="5"/>
    <n v="23.898530153585298"/>
    <n v="9.0396524914117471"/>
    <n v="0.52124633668264408"/>
    <n v="0.6967696374587361"/>
  </r>
  <r>
    <x v="1"/>
    <x v="5"/>
    <n v="23.944534171768201"/>
    <n v="9.0856565095946493"/>
    <n v="0.56725035486554631"/>
    <n v="0.67490186480938141"/>
  </r>
  <r>
    <x v="2"/>
    <x v="5"/>
    <n v="24.612858267208999"/>
    <n v="9.6166520886531472"/>
    <n v="1.0982459339240442"/>
    <n v="0.46708404358219213"/>
  </r>
  <r>
    <x v="2"/>
    <x v="5"/>
    <n v="24.493124666452001"/>
    <n v="9.4969184878961492"/>
    <n v="0.97851233316704622"/>
    <n v="0.50750279287575861"/>
  </r>
  <r>
    <x v="2"/>
    <x v="5"/>
    <n v="24.574505048022701"/>
    <n v="9.5782988694668489"/>
    <n v="1.0598927147377459"/>
    <n v="0.47966772857615764"/>
  </r>
  <r>
    <x v="2"/>
    <x v="5"/>
    <n v="24.657321941375098"/>
    <n v="9.6611157628192466"/>
    <n v="1.1427096080901435"/>
    <n v="0.4529081456489209"/>
  </r>
  <r>
    <x v="0"/>
    <x v="6"/>
    <n v="28.6316104260471"/>
    <n v="13.685233713233501"/>
    <n v="-7.1850385311799769E-2"/>
    <n v="1.0510639028542526"/>
  </r>
  <r>
    <x v="0"/>
    <x v="6"/>
    <n v="28.6869728327618"/>
    <n v="13.740596119948201"/>
    <n v="-1.6487978597099939E-2"/>
    <n v="1.0114941517788545"/>
  </r>
  <r>
    <x v="0"/>
    <x v="6"/>
    <n v="28.811508865947399"/>
    <n v="13.8651321531338"/>
    <n v="0.1080480545884992"/>
    <n v="0.9278425705388178"/>
  </r>
  <r>
    <x v="0"/>
    <x v="6"/>
    <n v="28.6837511206793"/>
    <n v="13.737374407865701"/>
    <n v="-1.970969067959949E-2"/>
    <n v="1.0137554642050695"/>
  </r>
  <r>
    <x v="1"/>
    <x v="6"/>
    <n v="28.535040424906999"/>
    <n v="13.676162762733448"/>
    <n v="-8.0921335811853012E-2"/>
    <n v="1.0576932904095868"/>
  </r>
  <r>
    <x v="1"/>
    <x v="6"/>
    <n v="28.5709919688755"/>
    <n v="13.712114306701949"/>
    <n v="-4.4969791843351814E-2"/>
    <n v="1.0316615774243643"/>
  </r>
  <r>
    <x v="1"/>
    <x v="6"/>
    <n v="28.793075032118001"/>
    <n v="13.934197369944449"/>
    <n v="0.17711327139914879"/>
    <n v="0.88447098947035185"/>
  </r>
  <r>
    <x v="1"/>
    <x v="6"/>
    <n v="28.448547200813099"/>
    <n v="13.589669538639548"/>
    <n v="-0.16741455990575282"/>
    <n v="1.1230440835868101"/>
  </r>
  <r>
    <x v="2"/>
    <x v="6"/>
    <n v="28.828208281345201"/>
    <n v="13.83200210278935"/>
    <n v="7.491800424404893E-2"/>
    <n v="0.94939607846390894"/>
  </r>
  <r>
    <x v="2"/>
    <x v="6"/>
    <n v="29.049813194871"/>
    <n v="14.053607016315148"/>
    <n v="0.29652291776984718"/>
    <n v="0.81421239098858378"/>
  </r>
  <r>
    <x v="2"/>
    <x v="6"/>
    <n v="28.805175517632801"/>
    <n v="13.808969339076949"/>
    <n v="5.1885240531648336E-2"/>
    <n v="0.96467491679331197"/>
  </r>
  <r>
    <x v="2"/>
    <x v="6"/>
    <n v="28.781794147554301"/>
    <n v="13.785587968998449"/>
    <n v="2.8503870453148394E-2"/>
    <n v="0.98043652047090601"/>
  </r>
  <r>
    <x v="0"/>
    <x v="7"/>
    <n v="23.917713071511699"/>
    <n v="8.9713363586980996"/>
    <n v="-0.19160474278342576"/>
    <n v="1.1420333194876857"/>
  </r>
  <r>
    <x v="0"/>
    <x v="7"/>
    <n v="23.969114360264101"/>
    <n v="9.0227376474505014"/>
    <n v="-0.14020345403102397"/>
    <n v="1.1020605214473307"/>
  </r>
  <r>
    <x v="0"/>
    <x v="7"/>
    <n v="24.2790053520886"/>
    <n v="9.3326286392750006"/>
    <n v="0.16968753779347523"/>
    <n v="0.88903520960493232"/>
  </r>
  <r>
    <x v="0"/>
    <x v="7"/>
    <n v="24.271438473316099"/>
    <n v="9.3250617605024999"/>
    <n v="0.1621206590209745"/>
    <n v="0.89371041424300335"/>
  </r>
  <r>
    <x v="1"/>
    <x v="7"/>
    <n v="24.108699661509199"/>
    <n v="9.2498219993356479"/>
    <n v="8.6880897854122452E-2"/>
    <n v="0.94155619180228656"/>
  </r>
  <r>
    <x v="1"/>
    <x v="7"/>
    <n v="24.514132883184899"/>
    <n v="9.6552552210113483"/>
    <n v="0.49231411952982285"/>
    <n v="0.71088390693086045"/>
  </r>
  <r>
    <x v="1"/>
    <x v="7"/>
    <n v="24.603327254780901"/>
    <n v="9.7444495926073493"/>
    <n v="0.58150849112582392"/>
    <n v="0.66826467016478308"/>
  </r>
  <r>
    <x v="1"/>
    <x v="7"/>
    <n v="24.690717221592699"/>
    <n v="9.8318395594191479"/>
    <n v="0.66889845793762248"/>
    <n v="0.62898675470862153"/>
  </r>
  <r>
    <x v="2"/>
    <x v="7"/>
    <n v="24.748017911666601"/>
    <n v="9.751811733110749"/>
    <n v="0.5888706316292236"/>
    <n v="0.66486317057696687"/>
  </r>
  <r>
    <x v="2"/>
    <x v="7"/>
    <n v="24.743395174012001"/>
    <n v="9.747188995456149"/>
    <n v="0.58424789397462362"/>
    <n v="0.66699696689771115"/>
  </r>
  <r>
    <x v="2"/>
    <x v="7"/>
    <n v="25.0364828059448"/>
    <n v="10.040276627388948"/>
    <n v="0.87733552590742292"/>
    <n v="0.54437188900786893"/>
  </r>
  <r>
    <x v="2"/>
    <x v="7"/>
    <n v="25.157878860945601"/>
    <n v="10.161672682389749"/>
    <n v="0.998731580908224"/>
    <n v="0.500439793863914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0">
  <r>
    <x v="0"/>
    <x v="0"/>
    <n v="14.8811110763966"/>
    <n v="-6.5265636416999229E-2"/>
    <n v="-6.5265636416999673E-2"/>
    <n v="1.0462775680550263"/>
  </r>
  <r>
    <x v="0"/>
    <x v="0"/>
    <n v="14.9125714961814"/>
    <n v="-3.3805216632199375E-2"/>
    <n v="-3.3805216632199819E-2"/>
    <n v="1.0237086765629908"/>
  </r>
  <r>
    <x v="0"/>
    <x v="0"/>
    <n v="14.851159749170799"/>
    <n v="-9.5216963642799968E-2"/>
    <n v="-9.5216963642800412E-2"/>
    <n v="1.0682260440663878"/>
  </r>
  <r>
    <x v="0"/>
    <x v="0"/>
    <n v="15.140664529505599"/>
    <n v="0.19428781669200035"/>
    <n v="0.1942878166919999"/>
    <n v="0.87400423975753416"/>
  </r>
  <r>
    <x v="1"/>
    <x v="0"/>
    <n v="14.8271811573895"/>
    <n v="-3.1696504784051172E-2"/>
    <n v="-3.1696504784051616E-2"/>
    <n v="1.0222134681590656"/>
  </r>
  <r>
    <x v="1"/>
    <x v="0"/>
    <n v="14.7838553492595"/>
    <n v="-7.5022312914050815E-2"/>
    <n v="-7.5022312914051259E-2"/>
    <n v="1.0533773275031877"/>
  </r>
  <r>
    <x v="1"/>
    <x v="0"/>
    <n v="14.8784129512247"/>
    <n v="1.9535289051148652E-2"/>
    <n v="1.9535289051148208E-2"/>
    <n v="0.98655043412100552"/>
  </r>
  <r>
    <x v="1"/>
    <x v="0"/>
    <n v="14.946061190820499"/>
    <n v="8.7183528646948005E-2"/>
    <n v="8.7183528646947561E-2"/>
    <n v="0.9413587044575471"/>
  </r>
  <r>
    <x v="2"/>
    <x v="0"/>
    <n v="14.730066584059999"/>
    <n v="-0.26613959449585245"/>
    <n v="-0.26613959449585289"/>
    <n v="1.2025856048881947"/>
  </r>
  <r>
    <x v="2"/>
    <x v="0"/>
    <n v="15.0680518325543"/>
    <n v="7.1845653998448E-2"/>
    <n v="7.1845653998447556E-2"/>
    <n v="0.95142005808238184"/>
  </r>
  <r>
    <x v="2"/>
    <x v="0"/>
    <n v="15.1842804747324"/>
    <n v="0.18807429617654847"/>
    <n v="0.18807429617654803"/>
    <n v="0.87777659254392437"/>
  </r>
  <r>
    <x v="2"/>
    <x v="0"/>
    <n v="15.002425822876701"/>
    <n v="6.2196443208488716E-3"/>
    <n v="6.2196443208484276E-3"/>
    <n v="0.9956981506512832"/>
  </r>
  <r>
    <x v="0"/>
    <x v="1"/>
    <n v="18.678818871160001"/>
    <n v="3.7324421583464016"/>
    <n v="-7.9006028456723776E-2"/>
    <n v="1.0562900391644123"/>
  </r>
  <r>
    <x v="0"/>
    <x v="1"/>
    <n v="18.619472409574598"/>
    <n v="3.6730956967609991"/>
    <n v="-0.13835249004212624"/>
    <n v="1.1006474949443019"/>
  </r>
  <r>
    <x v="0"/>
    <x v="1"/>
    <n v="18.870271333160201"/>
    <n v="3.9238946203466014"/>
    <n v="0.11244643354347605"/>
    <n v="0.92501814229081558"/>
  </r>
  <r>
    <x v="0"/>
    <x v="1"/>
    <n v="18.862736984572098"/>
    <n v="3.9163602717584993"/>
    <n v="0.10491208495537396"/>
    <n v="0.92986160485390768"/>
  </r>
  <r>
    <x v="1"/>
    <x v="1"/>
    <n v="20.1726427295857"/>
    <n v="5.3137650674121488"/>
    <n v="1.5023168806090235"/>
    <n v="0.35298606099253454"/>
  </r>
  <r>
    <x v="1"/>
    <x v="1"/>
    <n v="20.174009588580802"/>
    <n v="5.3151319264072505"/>
    <n v="1.5036837396041252"/>
    <n v="0.35265178821069781"/>
  </r>
  <r>
    <x v="1"/>
    <x v="1"/>
    <n v="20.236788199808998"/>
    <n v="5.3779105376354472"/>
    <n v="1.5664623508323219"/>
    <n v="0.33763529938631992"/>
  </r>
  <r>
    <x v="1"/>
    <x v="1"/>
    <n v="20.443025169734401"/>
    <n v="5.58414750756085"/>
    <n v="1.7726993207577246"/>
    <n v="0.29266064887304111"/>
  </r>
  <r>
    <x v="2"/>
    <x v="1"/>
    <n v="20.438724985230699"/>
    <n v="5.4425188066748476"/>
    <n v="1.6310706198717222"/>
    <n v="0.32284853376436867"/>
  </r>
  <r>
    <x v="2"/>
    <x v="1"/>
    <n v="20.281685112906199"/>
    <n v="5.2854789343503477"/>
    <n v="1.4740307475472223"/>
    <n v="0.35997515754913267"/>
  </r>
  <r>
    <x v="2"/>
    <x v="1"/>
    <n v="20.730853332067198"/>
    <n v="5.7346471535113466"/>
    <n v="1.9231989667082212"/>
    <n v="0.26366921329106974"/>
  </r>
  <r>
    <x v="2"/>
    <x v="1"/>
    <n v="20.8018013437663"/>
    <n v="5.8055951652104483"/>
    <n v="1.9941469784073229"/>
    <n v="0.25101631155043136"/>
  </r>
  <r>
    <x v="0"/>
    <x v="2"/>
    <n v="33.674549464099599"/>
    <n v="18.728172751285999"/>
    <n v="0.46974533895669879"/>
    <n v="0.72209204845620933"/>
  </r>
  <r>
    <x v="0"/>
    <x v="2"/>
    <n v="33.258783325881701"/>
    <n v="18.312406613068102"/>
    <n v="5.397920073880158E-2"/>
    <n v="0.96327578141810233"/>
  </r>
  <r>
    <x v="0"/>
    <x v="2"/>
    <n v="32.832981199119999"/>
    <n v="17.8866044863064"/>
    <n v="-0.3718229260229009"/>
    <n v="1.2939868229566212"/>
  </r>
  <r>
    <x v="0"/>
    <x v="2"/>
    <n v="33.0529025114703"/>
    <n v="18.106525798656701"/>
    <n v="-0.15190161367259947"/>
    <n v="1.1110329578396347"/>
  </r>
  <r>
    <x v="1"/>
    <x v="2"/>
    <n v="34.4734226362309"/>
    <n v="19.614544974057349"/>
    <n v="1.3561175617280483"/>
    <n v="0.39063210712396873"/>
  </r>
  <r>
    <x v="1"/>
    <x v="2"/>
    <n v="34.546237435586399"/>
    <n v="19.687359773412847"/>
    <n v="1.4289323610835467"/>
    <n v="0.37140564263675224"/>
  </r>
  <r>
    <x v="0"/>
    <x v="3"/>
    <n v="17.874845144228601"/>
    <n v="2.928468431415002"/>
    <n v="-3.0836878795974521E-2"/>
    <n v="1.0216045664176554"/>
  </r>
  <r>
    <x v="0"/>
    <x v="3"/>
    <n v="17.820387431248601"/>
    <n v="2.8740107184350023"/>
    <n v="-8.5294591775974204E-2"/>
    <n v="1.0609043511029592"/>
  </r>
  <r>
    <x v="0"/>
    <x v="3"/>
    <n v="17.980554673117702"/>
    <n v="3.0341779603041026"/>
    <n v="7.4872650093126047E-2"/>
    <n v="0.94942592519425795"/>
  </r>
  <r>
    <x v="0"/>
    <x v="3"/>
    <n v="17.946940843503398"/>
    <n v="3.0005641306897992"/>
    <n v="4.1258820478822678E-2"/>
    <n v="0.97180662956661645"/>
  </r>
  <r>
    <x v="1"/>
    <x v="3"/>
    <n v="17.780042685734699"/>
    <n v="2.9211650235611479"/>
    <n v="-3.8140286649828603E-2"/>
    <n v="1.0267893851425078"/>
  </r>
  <r>
    <x v="1"/>
    <x v="3"/>
    <n v="17.900204420087199"/>
    <n v="3.041326757913648"/>
    <n v="8.2021447702671502E-2"/>
    <n v="0.94473299610036721"/>
  </r>
  <r>
    <x v="1"/>
    <x v="3"/>
    <n v="17.9325274558431"/>
    <n v="3.0736497936695493"/>
    <n v="0.11434448345857273"/>
    <n v="0.92380196276644722"/>
  </r>
  <r>
    <x v="1"/>
    <x v="3"/>
    <n v="17.872924353260501"/>
    <n v="3.0140466910869499"/>
    <n v="5.4741380875973356E-2"/>
    <n v="0.96276701432370337"/>
  </r>
  <r>
    <x v="2"/>
    <x v="3"/>
    <n v="17.6100512166445"/>
    <n v="2.6138450380886482"/>
    <n v="-0.34546027212232833"/>
    <n v="1.2705562714865444"/>
  </r>
  <r>
    <x v="2"/>
    <x v="3"/>
    <n v="17.888300173231499"/>
    <n v="2.8920939946756477"/>
    <n v="-6.7211315535328886E-2"/>
    <n v="1.0476895738530236"/>
  </r>
  <r>
    <x v="2"/>
    <x v="3"/>
    <n v="17.945004156726601"/>
    <n v="2.9487979781707487"/>
    <n v="-1.0507332040227801E-2"/>
    <n v="1.0073097140576024"/>
  </r>
  <r>
    <x v="2"/>
    <x v="3"/>
    <n v="18.109698903262199"/>
    <n v="3.1134927247063473"/>
    <n v="0.15418741449537077"/>
    <n v="0.8986383806643371"/>
  </r>
  <r>
    <x v="0"/>
    <x v="4"/>
    <n v="19.2053544204283"/>
    <n v="4.2589777076147008"/>
    <n v="-2.0975631994675226E-2"/>
    <n v="1.0146454084520136"/>
  </r>
  <r>
    <x v="0"/>
    <x v="4"/>
    <n v="19.199630084929399"/>
    <n v="4.2532533721158003"/>
    <n v="-2.6699967493575727E-2"/>
    <n v="1.0186793232233327"/>
  </r>
  <r>
    <x v="0"/>
    <x v="4"/>
    <n v="19.1685989759542"/>
    <n v="4.2222222631406012"/>
    <n v="-5.7731076468774845E-2"/>
    <n v="1.0408275656083845"/>
  </r>
  <r>
    <x v="0"/>
    <x v="4"/>
    <n v="19.331736728380001"/>
    <n v="4.3853600155664019"/>
    <n v="0.1054066759570258"/>
    <n v="0.92954288028228738"/>
  </r>
  <r>
    <x v="1"/>
    <x v="4"/>
    <n v="20.528712060251301"/>
    <n v="5.6698343980777501"/>
    <n v="1.3898810584683741"/>
    <n v="0.38159626126063473"/>
  </r>
  <r>
    <x v="1"/>
    <x v="4"/>
    <n v="20.5499362884512"/>
    <n v="5.6910586262776484"/>
    <n v="1.4111052866682723"/>
    <n v="0.37602349496803095"/>
  </r>
  <r>
    <x v="1"/>
    <x v="4"/>
    <n v="20.568481465839501"/>
    <n v="5.7096038036659493"/>
    <n v="1.4296504640565733"/>
    <n v="0.37122082108911914"/>
  </r>
  <r>
    <x v="1"/>
    <x v="4"/>
    <n v="20.535255444621601"/>
    <n v="5.6763777824480499"/>
    <n v="1.3964244428386738"/>
    <n v="0.37986943955449831"/>
  </r>
  <r>
    <x v="2"/>
    <x v="4"/>
    <n v="21.426488058529898"/>
    <n v="6.4302818799740464"/>
    <n v="2.1503285403646704"/>
    <n v="0.22526131176741296"/>
  </r>
  <r>
    <x v="2"/>
    <x v="4"/>
    <n v="21.4940417564152"/>
    <n v="6.4978355778593482"/>
    <n v="2.2178822382499721"/>
    <n v="0.21495666694592358"/>
  </r>
  <r>
    <x v="2"/>
    <x v="4"/>
    <n v="21.447419050052801"/>
    <n v="6.4512128714969492"/>
    <n v="2.1712595318875731"/>
    <n v="0.22201675593092696"/>
  </r>
  <r>
    <x v="2"/>
    <x v="4"/>
    <n v="21.515955508843799"/>
    <n v="6.5197493302879472"/>
    <n v="2.2397959906785712"/>
    <n v="0.21171626445036251"/>
  </r>
  <r>
    <x v="0"/>
    <x v="5"/>
    <n v="23.501653442213101"/>
    <n v="8.5552767293995018"/>
    <n v="3.6870574670398781E-2"/>
    <n v="0.97476707410546948"/>
  </r>
  <r>
    <x v="0"/>
    <x v="5"/>
    <n v="23.343573334985201"/>
    <n v="8.3971966221716023"/>
    <n v="-0.12120953255750067"/>
    <n v="1.0876463457693157"/>
  </r>
  <r>
    <x v="0"/>
    <x v="5"/>
    <n v="23.536675890701702"/>
    <n v="8.5902991778881024"/>
    <n v="7.189302315899937E-2"/>
    <n v="0.95138881985923829"/>
  </r>
  <r>
    <x v="0"/>
    <x v="5"/>
    <n v="23.477228802270801"/>
    <n v="8.530852089457202"/>
    <n v="1.2445934728098962E-2"/>
    <n v="0.99141024005439904"/>
  </r>
  <r>
    <x v="1"/>
    <x v="5"/>
    <n v="23.946066138924198"/>
    <n v="9.0871884767506472"/>
    <n v="0.56878232202154422"/>
    <n v="0.67418558125493655"/>
  </r>
  <r>
    <x v="1"/>
    <x v="5"/>
    <n v="23.8311600162269"/>
    <n v="8.9722823540533483"/>
    <n v="0.45387619932424528"/>
    <n v="0.73007865221382917"/>
  </r>
  <r>
    <x v="1"/>
    <x v="5"/>
    <n v="23.898530153585298"/>
    <n v="9.0396524914117471"/>
    <n v="0.52124633668264408"/>
    <n v="0.6967696374587361"/>
  </r>
  <r>
    <x v="1"/>
    <x v="5"/>
    <n v="23.944534171768201"/>
    <n v="9.0856565095946493"/>
    <n v="0.56725035486554631"/>
    <n v="0.67490186480938141"/>
  </r>
  <r>
    <x v="2"/>
    <x v="5"/>
    <n v="24.612858267208999"/>
    <n v="9.6166520886531472"/>
    <n v="1.0982459339240442"/>
    <n v="0.46708404358219213"/>
  </r>
  <r>
    <x v="2"/>
    <x v="5"/>
    <n v="24.493124666452001"/>
    <n v="9.4969184878961492"/>
    <n v="0.97851233316704622"/>
    <n v="0.50750279287575861"/>
  </r>
  <r>
    <x v="2"/>
    <x v="5"/>
    <n v="24.574505048022701"/>
    <n v="9.5782988694668489"/>
    <n v="1.0598927147377459"/>
    <n v="0.47966772857615764"/>
  </r>
  <r>
    <x v="2"/>
    <x v="5"/>
    <n v="24.657321941375098"/>
    <n v="9.6611157628192466"/>
    <n v="1.1427096080901435"/>
    <n v="0.4529081456489209"/>
  </r>
  <r>
    <x v="0"/>
    <x v="6"/>
    <n v="28.6316104260471"/>
    <n v="13.685233713233501"/>
    <n v="-7.1850385311799769E-2"/>
    <n v="1.0510639028542526"/>
  </r>
  <r>
    <x v="0"/>
    <x v="6"/>
    <n v="28.6869728327618"/>
    <n v="13.740596119948201"/>
    <n v="-1.6487978597099939E-2"/>
    <n v="1.0114941517788545"/>
  </r>
  <r>
    <x v="0"/>
    <x v="6"/>
    <n v="28.811508865947399"/>
    <n v="13.8651321531338"/>
    <n v="0.1080480545884992"/>
    <n v="0.9278425705388178"/>
  </r>
  <r>
    <x v="0"/>
    <x v="6"/>
    <n v="28.6837511206793"/>
    <n v="13.737374407865701"/>
    <n v="-1.970969067959949E-2"/>
    <n v="1.0137554642050695"/>
  </r>
  <r>
    <x v="1"/>
    <x v="6"/>
    <n v="28.535040424906999"/>
    <n v="13.676162762733448"/>
    <n v="-8.0921335811853012E-2"/>
    <n v="1.0576932904095868"/>
  </r>
  <r>
    <x v="1"/>
    <x v="6"/>
    <n v="28.5709919688755"/>
    <n v="13.712114306701949"/>
    <n v="-4.4969791843351814E-2"/>
    <n v="1.0316615774243643"/>
  </r>
  <r>
    <x v="1"/>
    <x v="6"/>
    <n v="28.793075032118001"/>
    <n v="13.934197369944449"/>
    <n v="0.17711327139914879"/>
    <n v="0.88447098947035185"/>
  </r>
  <r>
    <x v="1"/>
    <x v="6"/>
    <n v="28.448547200813099"/>
    <n v="13.589669538639548"/>
    <n v="-0.16741455990575282"/>
    <n v="1.1230440835868101"/>
  </r>
  <r>
    <x v="2"/>
    <x v="6"/>
    <n v="28.828208281345201"/>
    <n v="13.83200210278935"/>
    <n v="7.491800424404893E-2"/>
    <n v="0.94939607846390894"/>
  </r>
  <r>
    <x v="2"/>
    <x v="6"/>
    <n v="29.049813194871"/>
    <n v="14.053607016315148"/>
    <n v="0.29652291776984718"/>
    <n v="0.81421239098858378"/>
  </r>
  <r>
    <x v="2"/>
    <x v="6"/>
    <n v="28.805175517632801"/>
    <n v="13.808969339076949"/>
    <n v="5.1885240531648336E-2"/>
    <n v="0.96467491679331197"/>
  </r>
  <r>
    <x v="2"/>
    <x v="6"/>
    <n v="28.781794147554301"/>
    <n v="13.785587968998449"/>
    <n v="2.8503870453148394E-2"/>
    <n v="0.98043652047090601"/>
  </r>
  <r>
    <x v="0"/>
    <x v="7"/>
    <n v="23.917713071511699"/>
    <n v="8.9713363586980996"/>
    <n v="-0.19160474278342576"/>
    <n v="1.1420333194876857"/>
  </r>
  <r>
    <x v="0"/>
    <x v="7"/>
    <n v="23.969114360264101"/>
    <n v="9.0227376474505014"/>
    <n v="-0.14020345403102397"/>
    <n v="1.1020605214473307"/>
  </r>
  <r>
    <x v="0"/>
    <x v="7"/>
    <n v="24.2790053520886"/>
    <n v="9.3326286392750006"/>
    <n v="0.16968753779347523"/>
    <n v="0.88903520960493232"/>
  </r>
  <r>
    <x v="0"/>
    <x v="7"/>
    <n v="24.271438473316099"/>
    <n v="9.3250617605024999"/>
    <n v="0.1621206590209745"/>
    <n v="0.89371041424300335"/>
  </r>
  <r>
    <x v="1"/>
    <x v="7"/>
    <n v="24.108699661509199"/>
    <n v="9.2498219993356479"/>
    <n v="8.6880897854122452E-2"/>
    <n v="0.94155619180228656"/>
  </r>
  <r>
    <x v="1"/>
    <x v="7"/>
    <n v="24.514132883184899"/>
    <n v="9.6552552210113483"/>
    <n v="0.49231411952982285"/>
    <n v="0.71088390693086045"/>
  </r>
  <r>
    <x v="1"/>
    <x v="7"/>
    <n v="24.603327254780901"/>
    <n v="9.7444495926073493"/>
    <n v="0.58150849112582392"/>
    <n v="0.66826467016478308"/>
  </r>
  <r>
    <x v="1"/>
    <x v="7"/>
    <n v="24.690717221592699"/>
    <n v="9.8318395594191479"/>
    <n v="0.66889845793762248"/>
    <n v="0.62898675470862153"/>
  </r>
  <r>
    <x v="2"/>
    <x v="7"/>
    <n v="24.748017911666601"/>
    <n v="9.751811733110749"/>
    <n v="0.5888706316292236"/>
    <n v="0.66486317057696687"/>
  </r>
  <r>
    <x v="2"/>
    <x v="7"/>
    <n v="24.743395174012001"/>
    <n v="9.747188995456149"/>
    <n v="0.58424789397462362"/>
    <n v="0.66699696689771115"/>
  </r>
  <r>
    <x v="2"/>
    <x v="7"/>
    <n v="25.0364828059448"/>
    <n v="10.040276627388948"/>
    <n v="0.87733552590742292"/>
    <n v="0.54437188900786893"/>
  </r>
  <r>
    <x v="2"/>
    <x v="7"/>
    <n v="25.157878860945601"/>
    <n v="10.161672682389749"/>
    <n v="0.998731580908224"/>
    <n v="0.500439793863914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d_expr" cacheId="51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compact="0" outline="1" outlineData="1" compactData="0" multipleFieldFilters="0">
  <location ref="B23:I27" firstHeaderRow="1" firstDataRow="2" firstDataCol="1"/>
  <pivotFields count="6">
    <pivotField axis="axisRow" compact="0" showAll="0">
      <items count="4">
        <item x="0"/>
        <item x="1"/>
        <item x="2"/>
        <item t="default"/>
      </items>
    </pivotField>
    <pivotField axis="axisCol" compact="0" showAll="0">
      <items count="9">
        <item x="6"/>
        <item x="5"/>
        <item x="4"/>
        <item h="1" x="0"/>
        <item x="7"/>
        <item x="2"/>
        <item x="3"/>
        <item x="1"/>
        <item t="default"/>
      </items>
    </pivotField>
    <pivotField compact="0" showAll="0"/>
    <pivotField compact="0" numFmtId="176" showAll="0"/>
    <pivotField compact="0" numFmtId="176" showAll="0"/>
    <pivotField dataField="1" compact="0" numFmtId="176" showAll="0"/>
  </pivotFields>
  <rowFields count="1">
    <field x="0"/>
  </rowFields>
  <rowItems count="3">
    <i>
      <x/>
    </i>
    <i>
      <x v="1"/>
    </i>
    <i>
      <x v="2"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6"/>
    </i>
    <i>
      <x v="7"/>
    </i>
  </colItems>
  <dataFields count="1">
    <dataField name="StdDev of expr" fld="5" subtotal="stdDev" baseField="0" baseItem="0" numFmtId="17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ean_expr" cacheId="4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compact="0" outline="1" outlineData="1" compactData="0" multipleFieldFilters="0" chartFormat="1">
  <location ref="B16:I20" firstHeaderRow="1" firstDataRow="2" firstDataCol="1"/>
  <pivotFields count="6">
    <pivotField axis="axisRow" compact="0" showAll="0">
      <items count="4">
        <item x="0"/>
        <item x="1"/>
        <item x="2"/>
        <item t="default"/>
      </items>
    </pivotField>
    <pivotField axis="axisCol" compact="0" showAll="0">
      <items count="9">
        <item x="6"/>
        <item x="5"/>
        <item x="4"/>
        <item h="1" x="0"/>
        <item x="7"/>
        <item x="2"/>
        <item x="3"/>
        <item x="1"/>
        <item t="default"/>
      </items>
    </pivotField>
    <pivotField compact="0" showAll="0"/>
    <pivotField compact="0" numFmtId="176" showAll="0"/>
    <pivotField compact="0" numFmtId="176" showAll="0"/>
    <pivotField dataField="1" compact="0" numFmtId="176" showAll="0"/>
  </pivotFields>
  <rowFields count="1">
    <field x="0"/>
  </rowFields>
  <rowItems count="3">
    <i>
      <x/>
    </i>
    <i>
      <x v="1"/>
    </i>
    <i>
      <x v="2"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6"/>
    </i>
    <i>
      <x v="7"/>
    </i>
  </colItems>
  <dataFields count="1">
    <dataField name="Average of expr" fld="5" subtotal="average" baseField="0" baseItem="0" numFmtId="176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ean_dct" cacheId="4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compact="0" outline="1" outlineData="1" compactData="0" multipleFieldFilters="0">
  <location ref="B9:J13" firstHeaderRow="1" firstDataRow="2" firstDataCol="1"/>
  <pivotFields count="4">
    <pivotField axis="axisRow" compact="0" showAll="0">
      <items count="4">
        <item x="0"/>
        <item x="1"/>
        <item x="2"/>
        <item t="default"/>
      </items>
    </pivotField>
    <pivotField axis="axisCol" compact="0" showAll="0">
      <items count="9">
        <item x="6"/>
        <item x="5"/>
        <item x="4"/>
        <item x="0"/>
        <item x="7"/>
        <item x="2"/>
        <item x="3"/>
        <item x="1"/>
        <item t="default"/>
      </items>
    </pivotField>
    <pivotField compact="0" showAll="0"/>
    <pivotField dataField="1" compact="0" numFmtId="176" showAll="0"/>
  </pivotFields>
  <rowFields count="1">
    <field x="0"/>
  </rowFields>
  <rowItems count="3">
    <i>
      <x/>
    </i>
    <i>
      <x v="1"/>
    </i>
    <i>
      <x v="2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Average of dCt" fld="3" subtotal="average" baseField="0" baseItem="0" numFmtId="176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ean_ct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compact="0" outline="1" outlineData="1" compactData="0" multipleFieldFilters="0">
  <location ref="B2:J6" firstHeaderRow="1" firstDataRow="2" firstDataCol="1"/>
  <pivotFields count="3">
    <pivotField axis="axisRow" compact="0" showAll="0">
      <items count="4">
        <item x="0"/>
        <item x="1"/>
        <item x="2"/>
        <item t="default"/>
      </items>
    </pivotField>
    <pivotField axis="axisCol" compact="0" showAll="0">
      <items count="9">
        <item x="6"/>
        <item x="5"/>
        <item x="4"/>
        <item x="0"/>
        <item x="7"/>
        <item x="2"/>
        <item x="3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>
      <x v="2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Average of Ct" fld="2" subtotal="average" baseField="0" baseItem="0" numFmtId="17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1"/>
  <sheetViews>
    <sheetView tabSelected="1" zoomScale="80" zoomScaleNormal="80" workbookViewId="0">
      <selection activeCell="H13" sqref="H13"/>
    </sheetView>
  </sheetViews>
  <sheetFormatPr defaultRowHeight="15.75" x14ac:dyDescent="0.25"/>
  <cols>
    <col min="1" max="1" width="20.375" style="29" customWidth="1"/>
    <col min="2" max="2" width="16.875" style="29" customWidth="1"/>
    <col min="3" max="3" width="9.125" style="29"/>
    <col min="4" max="4" width="13.875" style="30" customWidth="1"/>
    <col min="5" max="5" width="14.625" style="30" customWidth="1"/>
    <col min="6" max="6" width="12.125" style="30" customWidth="1"/>
    <col min="7" max="7" width="16.375" customWidth="1"/>
    <col min="8" max="8" width="41.625" style="26" customWidth="1"/>
    <col min="9" max="9" width="35.25" style="26" customWidth="1"/>
    <col min="10" max="10" width="40.25" style="26" customWidth="1"/>
  </cols>
  <sheetData>
    <row r="1" spans="1:10" s="2" customFormat="1" ht="31.5" customHeight="1" thickBot="1" x14ac:dyDescent="0.25">
      <c r="A1" s="27" t="s">
        <v>1</v>
      </c>
      <c r="B1" s="27" t="s">
        <v>2</v>
      </c>
      <c r="C1" s="27" t="s">
        <v>0</v>
      </c>
      <c r="D1" s="28" t="s">
        <v>31</v>
      </c>
      <c r="E1" s="28" t="s">
        <v>32</v>
      </c>
      <c r="F1" s="28" t="s">
        <v>33</v>
      </c>
      <c r="H1" s="35" t="s">
        <v>4</v>
      </c>
      <c r="I1" s="36"/>
      <c r="J1" s="37"/>
    </row>
    <row r="2" spans="1:10" ht="16.5" thickBot="1" x14ac:dyDescent="0.3">
      <c r="A2" s="29" t="s">
        <v>20</v>
      </c>
      <c r="B2" s="29" t="s">
        <v>15</v>
      </c>
      <c r="C2" s="29">
        <v>14.8811110763966</v>
      </c>
      <c r="D2" s="30">
        <f>C2-GETPIVOTDATA("Ct",Result!$B$2,"SampleName",A2,"TargetName",$I$4)</f>
        <v>-6.5265636416999229E-2</v>
      </c>
      <c r="E2" s="30">
        <f>D2-GETPIVOTDATA("dCt",Result!$B$9,"SampleName",$I$5,"TargetName",B2)</f>
        <v>-6.5265636416999673E-2</v>
      </c>
      <c r="F2" s="30">
        <f>2^(-E2)</f>
        <v>1.0462775680550263</v>
      </c>
      <c r="H2" s="38" t="s">
        <v>5</v>
      </c>
      <c r="I2" s="39"/>
      <c r="J2" s="40"/>
    </row>
    <row r="3" spans="1:10" x14ac:dyDescent="0.25">
      <c r="A3" s="29" t="s">
        <v>20</v>
      </c>
      <c r="B3" s="29" t="s">
        <v>15</v>
      </c>
      <c r="C3" s="29">
        <v>14.9125714961814</v>
      </c>
      <c r="D3" s="30">
        <f>C3-GETPIVOTDATA("Ct",Result!$B$2,"SampleName",A3,"TargetName",$I$4)</f>
        <v>-3.3805216632199375E-2</v>
      </c>
      <c r="E3" s="30">
        <f>D3-GETPIVOTDATA("dCt",Result!$B$9,"SampleName",$I$5,"TargetName",B3)</f>
        <v>-3.3805216632199819E-2</v>
      </c>
      <c r="F3" s="30">
        <f t="shared" ref="F3:F66" si="0">2^(-E3)</f>
        <v>1.0237086765629908</v>
      </c>
      <c r="H3" s="4" t="s">
        <v>6</v>
      </c>
      <c r="I3" s="5"/>
      <c r="J3" s="6"/>
    </row>
    <row r="4" spans="1:10" x14ac:dyDescent="0.25">
      <c r="A4" s="29" t="s">
        <v>20</v>
      </c>
      <c r="B4" s="29" t="s">
        <v>15</v>
      </c>
      <c r="C4" s="29">
        <v>14.851159749170799</v>
      </c>
      <c r="D4" s="30">
        <f>C4-GETPIVOTDATA("Ct",Result!$B$2,"SampleName",A4,"TargetName",$I$4)</f>
        <v>-9.5216963642799968E-2</v>
      </c>
      <c r="E4" s="30">
        <f>D4-GETPIVOTDATA("dCt",Result!$B$9,"SampleName",$I$5,"TargetName",B4)</f>
        <v>-9.5216963642800412E-2</v>
      </c>
      <c r="F4" s="30">
        <f t="shared" si="0"/>
        <v>1.0682260440663878</v>
      </c>
      <c r="H4" s="7" t="s">
        <v>13</v>
      </c>
      <c r="I4" s="8" t="s">
        <v>15</v>
      </c>
      <c r="J4" s="9"/>
    </row>
    <row r="5" spans="1:10" x14ac:dyDescent="0.25">
      <c r="A5" s="29" t="s">
        <v>20</v>
      </c>
      <c r="B5" s="29" t="s">
        <v>15</v>
      </c>
      <c r="C5" s="29">
        <v>15.140664529505599</v>
      </c>
      <c r="D5" s="30">
        <f>C5-GETPIVOTDATA("Ct",Result!$B$2,"SampleName",A5,"TargetName",$I$4)</f>
        <v>0.19428781669200035</v>
      </c>
      <c r="E5" s="30">
        <f>D5-GETPIVOTDATA("dCt",Result!$B$9,"SampleName",$I$5,"TargetName",B5)</f>
        <v>0.1942878166919999</v>
      </c>
      <c r="F5" s="30">
        <f t="shared" si="0"/>
        <v>0.87400423975753416</v>
      </c>
      <c r="H5" s="7" t="s">
        <v>14</v>
      </c>
      <c r="I5" s="10" t="s">
        <v>29</v>
      </c>
      <c r="J5" s="9"/>
    </row>
    <row r="6" spans="1:10" x14ac:dyDescent="0.25">
      <c r="A6" s="29" t="s">
        <v>21</v>
      </c>
      <c r="B6" s="29" t="s">
        <v>15</v>
      </c>
      <c r="C6" s="29">
        <v>14.8271811573895</v>
      </c>
      <c r="D6" s="30">
        <f>C6-GETPIVOTDATA("Ct",Result!$B$2,"SampleName",A6,"TargetName",$I$4)</f>
        <v>-3.1696504784051172E-2</v>
      </c>
      <c r="E6" s="30">
        <f>D6-GETPIVOTDATA("dCt",Result!$B$9,"SampleName",$I$5,"TargetName",B6)</f>
        <v>-3.1696504784051616E-2</v>
      </c>
      <c r="F6" s="30">
        <f t="shared" si="0"/>
        <v>1.0222134681590656</v>
      </c>
      <c r="H6" s="11" t="s">
        <v>7</v>
      </c>
      <c r="I6" s="12"/>
      <c r="J6" s="13"/>
    </row>
    <row r="7" spans="1:10" ht="16.5" thickBot="1" x14ac:dyDescent="0.3">
      <c r="A7" s="29" t="s">
        <v>21</v>
      </c>
      <c r="B7" s="29" t="s">
        <v>15</v>
      </c>
      <c r="C7" s="29">
        <v>14.7838553492595</v>
      </c>
      <c r="D7" s="30">
        <f>C7-GETPIVOTDATA("Ct",Result!$B$2,"SampleName",A7,"TargetName",$I$4)</f>
        <v>-7.5022312914050815E-2</v>
      </c>
      <c r="E7" s="30">
        <f>D7-GETPIVOTDATA("dCt",Result!$B$9,"SampleName",$I$5,"TargetName",B7)</f>
        <v>-7.5022312914051259E-2</v>
      </c>
      <c r="F7" s="30">
        <f t="shared" si="0"/>
        <v>1.0533773275031877</v>
      </c>
      <c r="H7" s="14" t="s">
        <v>12</v>
      </c>
      <c r="I7" s="15"/>
      <c r="J7" s="16"/>
    </row>
    <row r="8" spans="1:10" x14ac:dyDescent="0.2">
      <c r="A8" s="29" t="s">
        <v>21</v>
      </c>
      <c r="B8" s="29" t="s">
        <v>15</v>
      </c>
      <c r="C8" s="29">
        <v>14.8784129512247</v>
      </c>
      <c r="D8" s="30">
        <f>C8-GETPIVOTDATA("Ct",Result!$B$2,"SampleName",A8,"TargetName",$I$4)</f>
        <v>1.9535289051148652E-2</v>
      </c>
      <c r="E8" s="30">
        <f>D8-GETPIVOTDATA("dCt",Result!$B$9,"SampleName",$I$5,"TargetName",B8)</f>
        <v>1.9535289051148208E-2</v>
      </c>
      <c r="F8" s="30">
        <f t="shared" si="0"/>
        <v>0.98655043412100552</v>
      </c>
      <c r="H8" s="31" t="s">
        <v>11</v>
      </c>
      <c r="I8" s="32"/>
      <c r="J8" s="33"/>
    </row>
    <row r="9" spans="1:10" ht="15.75" customHeight="1" x14ac:dyDescent="0.25">
      <c r="A9" s="29" t="s">
        <v>21</v>
      </c>
      <c r="B9" s="29" t="s">
        <v>15</v>
      </c>
      <c r="C9" s="29">
        <v>14.946061190820499</v>
      </c>
      <c r="D9" s="30">
        <f>C9-GETPIVOTDATA("Ct",Result!$B$2,"SampleName",A9,"TargetName",$I$4)</f>
        <v>8.7183528646948005E-2</v>
      </c>
      <c r="E9" s="30">
        <f>D9-GETPIVOTDATA("dCt",Result!$B$9,"SampleName",$I$5,"TargetName",B9)</f>
        <v>8.7183528646947561E-2</v>
      </c>
      <c r="F9" s="30">
        <f t="shared" si="0"/>
        <v>0.9413587044575471</v>
      </c>
      <c r="H9" s="17" t="s">
        <v>8</v>
      </c>
      <c r="I9" s="18"/>
      <c r="J9" s="19"/>
    </row>
    <row r="10" spans="1:10" x14ac:dyDescent="0.25">
      <c r="A10" s="29" t="s">
        <v>22</v>
      </c>
      <c r="B10" s="29" t="s">
        <v>15</v>
      </c>
      <c r="C10" s="29">
        <v>14.730066584059999</v>
      </c>
      <c r="D10" s="30">
        <f>C10-GETPIVOTDATA("Ct",Result!$B$2,"SampleName",A10,"TargetName",$I$4)</f>
        <v>-0.26613959449585245</v>
      </c>
      <c r="E10" s="30">
        <f>D10-GETPIVOTDATA("dCt",Result!$B$9,"SampleName",$I$5,"TargetName",B10)</f>
        <v>-0.26613959449585289</v>
      </c>
      <c r="F10" s="30">
        <f t="shared" si="0"/>
        <v>1.2025856048881947</v>
      </c>
      <c r="H10" s="17" t="s">
        <v>9</v>
      </c>
      <c r="I10" s="20"/>
      <c r="J10" s="21"/>
    </row>
    <row r="11" spans="1:10" x14ac:dyDescent="0.25">
      <c r="A11" s="29" t="s">
        <v>22</v>
      </c>
      <c r="B11" s="29" t="s">
        <v>15</v>
      </c>
      <c r="C11" s="29">
        <v>15.0680518325543</v>
      </c>
      <c r="D11" s="30">
        <f>C11-GETPIVOTDATA("Ct",Result!$B$2,"SampleName",A11,"TargetName",$I$4)</f>
        <v>7.1845653998448E-2</v>
      </c>
      <c r="E11" s="30">
        <f>D11-GETPIVOTDATA("dCt",Result!$B$9,"SampleName",$I$5,"TargetName",B11)</f>
        <v>7.1845653998447556E-2</v>
      </c>
      <c r="F11" s="30">
        <f t="shared" si="0"/>
        <v>0.95142005808238184</v>
      </c>
      <c r="H11" s="17" t="s">
        <v>10</v>
      </c>
      <c r="I11" s="18"/>
      <c r="J11" s="19"/>
    </row>
    <row r="12" spans="1:10" x14ac:dyDescent="0.25">
      <c r="A12" s="29" t="s">
        <v>22</v>
      </c>
      <c r="B12" s="29" t="s">
        <v>15</v>
      </c>
      <c r="C12" s="29">
        <v>15.1842804747324</v>
      </c>
      <c r="D12" s="30">
        <f>C12-GETPIVOTDATA("Ct",Result!$B$2,"SampleName",A12,"TargetName",$I$4)</f>
        <v>0.18807429617654847</v>
      </c>
      <c r="E12" s="30">
        <f>D12-GETPIVOTDATA("dCt",Result!$B$9,"SampleName",$I$5,"TargetName",B12)</f>
        <v>0.18807429617654803</v>
      </c>
      <c r="F12" s="30">
        <f t="shared" si="0"/>
        <v>0.87777659254392437</v>
      </c>
      <c r="H12" s="34" t="s">
        <v>19</v>
      </c>
      <c r="I12" s="22"/>
      <c r="J12" s="23"/>
    </row>
    <row r="13" spans="1:10" ht="16.5" thickBot="1" x14ac:dyDescent="0.3">
      <c r="A13" s="29" t="s">
        <v>22</v>
      </c>
      <c r="B13" s="29" t="s">
        <v>15</v>
      </c>
      <c r="C13" s="29">
        <v>15.002425822876701</v>
      </c>
      <c r="D13" s="30">
        <f>C13-GETPIVOTDATA("Ct",Result!$B$2,"SampleName",A13,"TargetName",$I$4)</f>
        <v>6.2196443208488716E-3</v>
      </c>
      <c r="E13" s="30">
        <f>D13-GETPIVOTDATA("dCt",Result!$B$9,"SampleName",$I$5,"TargetName",B13)</f>
        <v>6.2196443208484276E-3</v>
      </c>
      <c r="F13" s="30">
        <f t="shared" si="0"/>
        <v>0.9956981506512832</v>
      </c>
      <c r="H13" s="41" t="s">
        <v>34</v>
      </c>
      <c r="I13" s="24"/>
      <c r="J13" s="25"/>
    </row>
    <row r="14" spans="1:10" x14ac:dyDescent="0.25">
      <c r="A14" s="29" t="s">
        <v>20</v>
      </c>
      <c r="B14" s="29" t="s">
        <v>23</v>
      </c>
      <c r="C14" s="29">
        <v>18.678818871160001</v>
      </c>
      <c r="D14" s="30">
        <f>C14-GETPIVOTDATA("Ct",Result!$B$2,"SampleName",A14,"TargetName",$I$4)</f>
        <v>3.7324421583464016</v>
      </c>
      <c r="E14" s="30">
        <f>D14-GETPIVOTDATA("dCt",Result!$B$9,"SampleName",$I$5,"TargetName",B14)</f>
        <v>-7.9006028456723776E-2</v>
      </c>
      <c r="F14" s="30">
        <f t="shared" si="0"/>
        <v>1.0562900391644123</v>
      </c>
    </row>
    <row r="15" spans="1:10" x14ac:dyDescent="0.25">
      <c r="A15" s="29" t="s">
        <v>20</v>
      </c>
      <c r="B15" s="29" t="s">
        <v>23</v>
      </c>
      <c r="C15" s="29">
        <v>18.619472409574598</v>
      </c>
      <c r="D15" s="30">
        <f>C15-GETPIVOTDATA("Ct",Result!$B$2,"SampleName",A15,"TargetName",$I$4)</f>
        <v>3.6730956967609991</v>
      </c>
      <c r="E15" s="30">
        <f>D15-GETPIVOTDATA("dCt",Result!$B$9,"SampleName",$I$5,"TargetName",B15)</f>
        <v>-0.13835249004212624</v>
      </c>
      <c r="F15" s="30">
        <f t="shared" si="0"/>
        <v>1.1006474949443019</v>
      </c>
    </row>
    <row r="16" spans="1:10" x14ac:dyDescent="0.25">
      <c r="A16" s="29" t="s">
        <v>20</v>
      </c>
      <c r="B16" s="29" t="s">
        <v>23</v>
      </c>
      <c r="C16" s="29">
        <v>18.870271333160201</v>
      </c>
      <c r="D16" s="30">
        <f>C16-GETPIVOTDATA("Ct",Result!$B$2,"SampleName",A16,"TargetName",$I$4)</f>
        <v>3.9238946203466014</v>
      </c>
      <c r="E16" s="30">
        <f>D16-GETPIVOTDATA("dCt",Result!$B$9,"SampleName",$I$5,"TargetName",B16)</f>
        <v>0.11244643354347605</v>
      </c>
      <c r="F16" s="30">
        <f t="shared" si="0"/>
        <v>0.92501814229081558</v>
      </c>
    </row>
    <row r="17" spans="1:6" x14ac:dyDescent="0.25">
      <c r="A17" s="29" t="s">
        <v>20</v>
      </c>
      <c r="B17" s="29" t="s">
        <v>23</v>
      </c>
      <c r="C17" s="29">
        <v>18.862736984572098</v>
      </c>
      <c r="D17" s="30">
        <f>C17-GETPIVOTDATA("Ct",Result!$B$2,"SampleName",A17,"TargetName",$I$4)</f>
        <v>3.9163602717584993</v>
      </c>
      <c r="E17" s="30">
        <f>D17-GETPIVOTDATA("dCt",Result!$B$9,"SampleName",$I$5,"TargetName",B17)</f>
        <v>0.10491208495537396</v>
      </c>
      <c r="F17" s="30">
        <f t="shared" si="0"/>
        <v>0.92986160485390768</v>
      </c>
    </row>
    <row r="18" spans="1:6" x14ac:dyDescent="0.25">
      <c r="A18" s="29" t="s">
        <v>21</v>
      </c>
      <c r="B18" s="29" t="s">
        <v>23</v>
      </c>
      <c r="C18" s="29">
        <v>20.1726427295857</v>
      </c>
      <c r="D18" s="30">
        <f>C18-GETPIVOTDATA("Ct",Result!$B$2,"SampleName",A18,"TargetName",$I$4)</f>
        <v>5.3137650674121488</v>
      </c>
      <c r="E18" s="30">
        <f>D18-GETPIVOTDATA("dCt",Result!$B$9,"SampleName",$I$5,"TargetName",B18)</f>
        <v>1.5023168806090235</v>
      </c>
      <c r="F18" s="30">
        <f t="shared" si="0"/>
        <v>0.35298606099253454</v>
      </c>
    </row>
    <row r="19" spans="1:6" x14ac:dyDescent="0.25">
      <c r="A19" s="29" t="s">
        <v>21</v>
      </c>
      <c r="B19" s="29" t="s">
        <v>23</v>
      </c>
      <c r="C19" s="29">
        <v>20.174009588580802</v>
      </c>
      <c r="D19" s="30">
        <f>C19-GETPIVOTDATA("Ct",Result!$B$2,"SampleName",A19,"TargetName",$I$4)</f>
        <v>5.3151319264072505</v>
      </c>
      <c r="E19" s="30">
        <f>D19-GETPIVOTDATA("dCt",Result!$B$9,"SampleName",$I$5,"TargetName",B19)</f>
        <v>1.5036837396041252</v>
      </c>
      <c r="F19" s="30">
        <f t="shared" si="0"/>
        <v>0.35265178821069781</v>
      </c>
    </row>
    <row r="20" spans="1:6" x14ac:dyDescent="0.25">
      <c r="A20" s="29" t="s">
        <v>21</v>
      </c>
      <c r="B20" s="29" t="s">
        <v>23</v>
      </c>
      <c r="C20" s="29">
        <v>20.236788199808998</v>
      </c>
      <c r="D20" s="30">
        <f>C20-GETPIVOTDATA("Ct",Result!$B$2,"SampleName",A20,"TargetName",$I$4)</f>
        <v>5.3779105376354472</v>
      </c>
      <c r="E20" s="30">
        <f>D20-GETPIVOTDATA("dCt",Result!$B$9,"SampleName",$I$5,"TargetName",B20)</f>
        <v>1.5664623508323219</v>
      </c>
      <c r="F20" s="30">
        <f t="shared" si="0"/>
        <v>0.33763529938631992</v>
      </c>
    </row>
    <row r="21" spans="1:6" x14ac:dyDescent="0.25">
      <c r="A21" s="29" t="s">
        <v>21</v>
      </c>
      <c r="B21" s="29" t="s">
        <v>23</v>
      </c>
      <c r="C21" s="29">
        <v>20.443025169734401</v>
      </c>
      <c r="D21" s="30">
        <f>C21-GETPIVOTDATA("Ct",Result!$B$2,"SampleName",A21,"TargetName",$I$4)</f>
        <v>5.58414750756085</v>
      </c>
      <c r="E21" s="30">
        <f>D21-GETPIVOTDATA("dCt",Result!$B$9,"SampleName",$I$5,"TargetName",B21)</f>
        <v>1.7726993207577246</v>
      </c>
      <c r="F21" s="30">
        <f t="shared" si="0"/>
        <v>0.29266064887304111</v>
      </c>
    </row>
    <row r="22" spans="1:6" x14ac:dyDescent="0.25">
      <c r="A22" s="29" t="s">
        <v>22</v>
      </c>
      <c r="B22" s="29" t="s">
        <v>23</v>
      </c>
      <c r="C22" s="29">
        <v>20.438724985230699</v>
      </c>
      <c r="D22" s="30">
        <f>C22-GETPIVOTDATA("Ct",Result!$B$2,"SampleName",A22,"TargetName",$I$4)</f>
        <v>5.4425188066748476</v>
      </c>
      <c r="E22" s="30">
        <f>D22-GETPIVOTDATA("dCt",Result!$B$9,"SampleName",$I$5,"TargetName",B22)</f>
        <v>1.6310706198717222</v>
      </c>
      <c r="F22" s="30">
        <f t="shared" si="0"/>
        <v>0.32284853376436867</v>
      </c>
    </row>
    <row r="23" spans="1:6" x14ac:dyDescent="0.25">
      <c r="A23" s="29" t="s">
        <v>22</v>
      </c>
      <c r="B23" s="29" t="s">
        <v>23</v>
      </c>
      <c r="C23" s="29">
        <v>20.281685112906199</v>
      </c>
      <c r="D23" s="30">
        <f>C23-GETPIVOTDATA("Ct",Result!$B$2,"SampleName",A23,"TargetName",$I$4)</f>
        <v>5.2854789343503477</v>
      </c>
      <c r="E23" s="30">
        <f>D23-GETPIVOTDATA("dCt",Result!$B$9,"SampleName",$I$5,"TargetName",B23)</f>
        <v>1.4740307475472223</v>
      </c>
      <c r="F23" s="30">
        <f t="shared" si="0"/>
        <v>0.35997515754913267</v>
      </c>
    </row>
    <row r="24" spans="1:6" x14ac:dyDescent="0.25">
      <c r="A24" s="29" t="s">
        <v>22</v>
      </c>
      <c r="B24" s="29" t="s">
        <v>23</v>
      </c>
      <c r="C24" s="29">
        <v>20.730853332067198</v>
      </c>
      <c r="D24" s="30">
        <f>C24-GETPIVOTDATA("Ct",Result!$B$2,"SampleName",A24,"TargetName",$I$4)</f>
        <v>5.7346471535113466</v>
      </c>
      <c r="E24" s="30">
        <f>D24-GETPIVOTDATA("dCt",Result!$B$9,"SampleName",$I$5,"TargetName",B24)</f>
        <v>1.9231989667082212</v>
      </c>
      <c r="F24" s="30">
        <f t="shared" si="0"/>
        <v>0.26366921329106974</v>
      </c>
    </row>
    <row r="25" spans="1:6" x14ac:dyDescent="0.25">
      <c r="A25" s="29" t="s">
        <v>22</v>
      </c>
      <c r="B25" s="29" t="s">
        <v>23</v>
      </c>
      <c r="C25" s="29">
        <v>20.8018013437663</v>
      </c>
      <c r="D25" s="30">
        <f>C25-GETPIVOTDATA("Ct",Result!$B$2,"SampleName",A25,"TargetName",$I$4)</f>
        <v>5.8055951652104483</v>
      </c>
      <c r="E25" s="30">
        <f>D25-GETPIVOTDATA("dCt",Result!$B$9,"SampleName",$I$5,"TargetName",B25)</f>
        <v>1.9941469784073229</v>
      </c>
      <c r="F25" s="30">
        <f t="shared" si="0"/>
        <v>0.25101631155043136</v>
      </c>
    </row>
    <row r="26" spans="1:6" x14ac:dyDescent="0.25">
      <c r="A26" s="29" t="s">
        <v>20</v>
      </c>
      <c r="B26" s="29" t="s">
        <v>30</v>
      </c>
      <c r="C26" s="29">
        <v>33.674549464099599</v>
      </c>
      <c r="D26" s="30">
        <f>C26-GETPIVOTDATA("Ct",Result!$B$2,"SampleName",A26,"TargetName",$I$4)</f>
        <v>18.728172751285999</v>
      </c>
      <c r="E26" s="30">
        <f>D26-GETPIVOTDATA("dCt",Result!$B$9,"SampleName",$I$5,"TargetName",B26)</f>
        <v>0.46974533895669879</v>
      </c>
      <c r="F26" s="30">
        <f t="shared" si="0"/>
        <v>0.72209204845620933</v>
      </c>
    </row>
    <row r="27" spans="1:6" x14ac:dyDescent="0.25">
      <c r="A27" s="29" t="s">
        <v>20</v>
      </c>
      <c r="B27" s="29" t="s">
        <v>30</v>
      </c>
      <c r="C27" s="29">
        <v>33.258783325881701</v>
      </c>
      <c r="D27" s="30">
        <f>C27-GETPIVOTDATA("Ct",Result!$B$2,"SampleName",A27,"TargetName",$I$4)</f>
        <v>18.312406613068102</v>
      </c>
      <c r="E27" s="30">
        <f>D27-GETPIVOTDATA("dCt",Result!$B$9,"SampleName",$I$5,"TargetName",B27)</f>
        <v>5.397920073880158E-2</v>
      </c>
      <c r="F27" s="30">
        <f t="shared" si="0"/>
        <v>0.96327578141810233</v>
      </c>
    </row>
    <row r="28" spans="1:6" x14ac:dyDescent="0.25">
      <c r="A28" s="29" t="s">
        <v>20</v>
      </c>
      <c r="B28" s="29" t="s">
        <v>30</v>
      </c>
      <c r="C28" s="29">
        <v>32.832981199119999</v>
      </c>
      <c r="D28" s="30">
        <f>C28-GETPIVOTDATA("Ct",Result!$B$2,"SampleName",A28,"TargetName",$I$4)</f>
        <v>17.8866044863064</v>
      </c>
      <c r="E28" s="30">
        <f>D28-GETPIVOTDATA("dCt",Result!$B$9,"SampleName",$I$5,"TargetName",B28)</f>
        <v>-0.3718229260229009</v>
      </c>
      <c r="F28" s="30">
        <f t="shared" si="0"/>
        <v>1.2939868229566212</v>
      </c>
    </row>
    <row r="29" spans="1:6" x14ac:dyDescent="0.25">
      <c r="A29" s="29" t="s">
        <v>20</v>
      </c>
      <c r="B29" s="29" t="s">
        <v>30</v>
      </c>
      <c r="C29" s="29">
        <v>33.0529025114703</v>
      </c>
      <c r="D29" s="30">
        <f>C29-GETPIVOTDATA("Ct",Result!$B$2,"SampleName",A29,"TargetName",$I$4)</f>
        <v>18.106525798656701</v>
      </c>
      <c r="E29" s="30">
        <f>D29-GETPIVOTDATA("dCt",Result!$B$9,"SampleName",$I$5,"TargetName",B29)</f>
        <v>-0.15190161367259947</v>
      </c>
      <c r="F29" s="30">
        <f t="shared" si="0"/>
        <v>1.1110329578396347</v>
      </c>
    </row>
    <row r="30" spans="1:6" x14ac:dyDescent="0.25">
      <c r="A30" s="29" t="s">
        <v>21</v>
      </c>
      <c r="B30" s="29" t="s">
        <v>30</v>
      </c>
      <c r="C30" s="29">
        <v>34.4734226362309</v>
      </c>
      <c r="D30" s="30">
        <f>C30-GETPIVOTDATA("Ct",Result!$B$2,"SampleName",A30,"TargetName",$I$4)</f>
        <v>19.614544974057349</v>
      </c>
      <c r="E30" s="30">
        <f>D30-GETPIVOTDATA("dCt",Result!$B$9,"SampleName",$I$5,"TargetName",B30)</f>
        <v>1.3561175617280483</v>
      </c>
      <c r="F30" s="30">
        <f t="shared" si="0"/>
        <v>0.39063210712396873</v>
      </c>
    </row>
    <row r="31" spans="1:6" x14ac:dyDescent="0.25">
      <c r="A31" s="29" t="s">
        <v>21</v>
      </c>
      <c r="B31" s="29" t="s">
        <v>30</v>
      </c>
      <c r="C31" s="29">
        <v>34.546237435586399</v>
      </c>
      <c r="D31" s="30">
        <f>C31-GETPIVOTDATA("Ct",Result!$B$2,"SampleName",A31,"TargetName",$I$4)</f>
        <v>19.687359773412847</v>
      </c>
      <c r="E31" s="30">
        <f>D31-GETPIVOTDATA("dCt",Result!$B$9,"SampleName",$I$5,"TargetName",B31)</f>
        <v>1.4289323610835467</v>
      </c>
      <c r="F31" s="30">
        <f t="shared" si="0"/>
        <v>0.37140564263675224</v>
      </c>
    </row>
    <row r="32" spans="1:6" x14ac:dyDescent="0.25">
      <c r="A32" s="29" t="s">
        <v>20</v>
      </c>
      <c r="B32" s="29" t="s">
        <v>24</v>
      </c>
      <c r="C32" s="29">
        <v>17.874845144228601</v>
      </c>
      <c r="D32" s="30">
        <f>C32-GETPIVOTDATA("Ct",Result!$B$2,"SampleName",A32,"TargetName",$I$4)</f>
        <v>2.928468431415002</v>
      </c>
      <c r="E32" s="30">
        <f>D32-GETPIVOTDATA("dCt",Result!$B$9,"SampleName",$I$5,"TargetName",B32)</f>
        <v>-3.0836878795974521E-2</v>
      </c>
      <c r="F32" s="30">
        <f t="shared" si="0"/>
        <v>1.0216045664176554</v>
      </c>
    </row>
    <row r="33" spans="1:6" x14ac:dyDescent="0.25">
      <c r="A33" s="29" t="s">
        <v>20</v>
      </c>
      <c r="B33" s="29" t="s">
        <v>24</v>
      </c>
      <c r="C33" s="29">
        <v>17.820387431248601</v>
      </c>
      <c r="D33" s="30">
        <f>C33-GETPIVOTDATA("Ct",Result!$B$2,"SampleName",A33,"TargetName",$I$4)</f>
        <v>2.8740107184350023</v>
      </c>
      <c r="E33" s="30">
        <f>D33-GETPIVOTDATA("dCt",Result!$B$9,"SampleName",$I$5,"TargetName",B33)</f>
        <v>-8.5294591775974204E-2</v>
      </c>
      <c r="F33" s="30">
        <f t="shared" si="0"/>
        <v>1.0609043511029592</v>
      </c>
    </row>
    <row r="34" spans="1:6" x14ac:dyDescent="0.25">
      <c r="A34" s="29" t="s">
        <v>20</v>
      </c>
      <c r="B34" s="29" t="s">
        <v>24</v>
      </c>
      <c r="C34" s="29">
        <v>17.980554673117702</v>
      </c>
      <c r="D34" s="30">
        <f>C34-GETPIVOTDATA("Ct",Result!$B$2,"SampleName",A34,"TargetName",$I$4)</f>
        <v>3.0341779603041026</v>
      </c>
      <c r="E34" s="30">
        <f>D34-GETPIVOTDATA("dCt",Result!$B$9,"SampleName",$I$5,"TargetName",B34)</f>
        <v>7.4872650093126047E-2</v>
      </c>
      <c r="F34" s="30">
        <f t="shared" si="0"/>
        <v>0.94942592519425795</v>
      </c>
    </row>
    <row r="35" spans="1:6" x14ac:dyDescent="0.25">
      <c r="A35" s="29" t="s">
        <v>20</v>
      </c>
      <c r="B35" s="29" t="s">
        <v>24</v>
      </c>
      <c r="C35" s="29">
        <v>17.946940843503398</v>
      </c>
      <c r="D35" s="30">
        <f>C35-GETPIVOTDATA("Ct",Result!$B$2,"SampleName",A35,"TargetName",$I$4)</f>
        <v>3.0005641306897992</v>
      </c>
      <c r="E35" s="30">
        <f>D35-GETPIVOTDATA("dCt",Result!$B$9,"SampleName",$I$5,"TargetName",B35)</f>
        <v>4.1258820478822678E-2</v>
      </c>
      <c r="F35" s="30">
        <f t="shared" si="0"/>
        <v>0.97180662956661645</v>
      </c>
    </row>
    <row r="36" spans="1:6" x14ac:dyDescent="0.25">
      <c r="A36" s="29" t="s">
        <v>21</v>
      </c>
      <c r="B36" s="29" t="s">
        <v>24</v>
      </c>
      <c r="C36" s="29">
        <v>17.780042685734699</v>
      </c>
      <c r="D36" s="30">
        <f>C36-GETPIVOTDATA("Ct",Result!$B$2,"SampleName",A36,"TargetName",$I$4)</f>
        <v>2.9211650235611479</v>
      </c>
      <c r="E36" s="30">
        <f>D36-GETPIVOTDATA("dCt",Result!$B$9,"SampleName",$I$5,"TargetName",B36)</f>
        <v>-3.8140286649828603E-2</v>
      </c>
      <c r="F36" s="30">
        <f t="shared" si="0"/>
        <v>1.0267893851425078</v>
      </c>
    </row>
    <row r="37" spans="1:6" x14ac:dyDescent="0.25">
      <c r="A37" s="29" t="s">
        <v>21</v>
      </c>
      <c r="B37" s="29" t="s">
        <v>24</v>
      </c>
      <c r="C37" s="29">
        <v>17.900204420087199</v>
      </c>
      <c r="D37" s="30">
        <f>C37-GETPIVOTDATA("Ct",Result!$B$2,"SampleName",A37,"TargetName",$I$4)</f>
        <v>3.041326757913648</v>
      </c>
      <c r="E37" s="30">
        <f>D37-GETPIVOTDATA("dCt",Result!$B$9,"SampleName",$I$5,"TargetName",B37)</f>
        <v>8.2021447702671502E-2</v>
      </c>
      <c r="F37" s="30">
        <f t="shared" si="0"/>
        <v>0.94473299610036721</v>
      </c>
    </row>
    <row r="38" spans="1:6" x14ac:dyDescent="0.25">
      <c r="A38" s="29" t="s">
        <v>21</v>
      </c>
      <c r="B38" s="29" t="s">
        <v>24</v>
      </c>
      <c r="C38" s="29">
        <v>17.9325274558431</v>
      </c>
      <c r="D38" s="30">
        <f>C38-GETPIVOTDATA("Ct",Result!$B$2,"SampleName",A38,"TargetName",$I$4)</f>
        <v>3.0736497936695493</v>
      </c>
      <c r="E38" s="30">
        <f>D38-GETPIVOTDATA("dCt",Result!$B$9,"SampleName",$I$5,"TargetName",B38)</f>
        <v>0.11434448345857273</v>
      </c>
      <c r="F38" s="30">
        <f t="shared" si="0"/>
        <v>0.92380196276644722</v>
      </c>
    </row>
    <row r="39" spans="1:6" x14ac:dyDescent="0.25">
      <c r="A39" s="29" t="s">
        <v>21</v>
      </c>
      <c r="B39" s="29" t="s">
        <v>24</v>
      </c>
      <c r="C39" s="29">
        <v>17.872924353260501</v>
      </c>
      <c r="D39" s="30">
        <f>C39-GETPIVOTDATA("Ct",Result!$B$2,"SampleName",A39,"TargetName",$I$4)</f>
        <v>3.0140466910869499</v>
      </c>
      <c r="E39" s="30">
        <f>D39-GETPIVOTDATA("dCt",Result!$B$9,"SampleName",$I$5,"TargetName",B39)</f>
        <v>5.4741380875973356E-2</v>
      </c>
      <c r="F39" s="30">
        <f t="shared" si="0"/>
        <v>0.96276701432370337</v>
      </c>
    </row>
    <row r="40" spans="1:6" x14ac:dyDescent="0.25">
      <c r="A40" s="29" t="s">
        <v>22</v>
      </c>
      <c r="B40" s="29" t="s">
        <v>24</v>
      </c>
      <c r="C40" s="29">
        <v>17.6100512166445</v>
      </c>
      <c r="D40" s="30">
        <f>C40-GETPIVOTDATA("Ct",Result!$B$2,"SampleName",A40,"TargetName",$I$4)</f>
        <v>2.6138450380886482</v>
      </c>
      <c r="E40" s="30">
        <f>D40-GETPIVOTDATA("dCt",Result!$B$9,"SampleName",$I$5,"TargetName",B40)</f>
        <v>-0.34546027212232833</v>
      </c>
      <c r="F40" s="30">
        <f t="shared" si="0"/>
        <v>1.2705562714865444</v>
      </c>
    </row>
    <row r="41" spans="1:6" x14ac:dyDescent="0.25">
      <c r="A41" s="29" t="s">
        <v>22</v>
      </c>
      <c r="B41" s="29" t="s">
        <v>24</v>
      </c>
      <c r="C41" s="29">
        <v>17.888300173231499</v>
      </c>
      <c r="D41" s="30">
        <f>C41-GETPIVOTDATA("Ct",Result!$B$2,"SampleName",A41,"TargetName",$I$4)</f>
        <v>2.8920939946756477</v>
      </c>
      <c r="E41" s="30">
        <f>D41-GETPIVOTDATA("dCt",Result!$B$9,"SampleName",$I$5,"TargetName",B41)</f>
        <v>-6.7211315535328886E-2</v>
      </c>
      <c r="F41" s="30">
        <f t="shared" si="0"/>
        <v>1.0476895738530236</v>
      </c>
    </row>
    <row r="42" spans="1:6" x14ac:dyDescent="0.25">
      <c r="A42" s="29" t="s">
        <v>22</v>
      </c>
      <c r="B42" s="29" t="s">
        <v>24</v>
      </c>
      <c r="C42" s="29">
        <v>17.945004156726601</v>
      </c>
      <c r="D42" s="30">
        <f>C42-GETPIVOTDATA("Ct",Result!$B$2,"SampleName",A42,"TargetName",$I$4)</f>
        <v>2.9487979781707487</v>
      </c>
      <c r="E42" s="30">
        <f>D42-GETPIVOTDATA("dCt",Result!$B$9,"SampleName",$I$5,"TargetName",B42)</f>
        <v>-1.0507332040227801E-2</v>
      </c>
      <c r="F42" s="30">
        <f t="shared" si="0"/>
        <v>1.0073097140576024</v>
      </c>
    </row>
    <row r="43" spans="1:6" x14ac:dyDescent="0.25">
      <c r="A43" s="29" t="s">
        <v>22</v>
      </c>
      <c r="B43" s="29" t="s">
        <v>24</v>
      </c>
      <c r="C43" s="29">
        <v>18.109698903262199</v>
      </c>
      <c r="D43" s="30">
        <f>C43-GETPIVOTDATA("Ct",Result!$B$2,"SampleName",A43,"TargetName",$I$4)</f>
        <v>3.1134927247063473</v>
      </c>
      <c r="E43" s="30">
        <f>D43-GETPIVOTDATA("dCt",Result!$B$9,"SampleName",$I$5,"TargetName",B43)</f>
        <v>0.15418741449537077</v>
      </c>
      <c r="F43" s="30">
        <f t="shared" si="0"/>
        <v>0.8986383806643371</v>
      </c>
    </row>
    <row r="44" spans="1:6" x14ac:dyDescent="0.25">
      <c r="A44" s="29" t="s">
        <v>20</v>
      </c>
      <c r="B44" s="29" t="s">
        <v>25</v>
      </c>
      <c r="C44" s="29">
        <v>19.2053544204283</v>
      </c>
      <c r="D44" s="30">
        <f>C44-GETPIVOTDATA("Ct",Result!$B$2,"SampleName",A44,"TargetName",$I$4)</f>
        <v>4.2589777076147008</v>
      </c>
      <c r="E44" s="30">
        <f>D44-GETPIVOTDATA("dCt",Result!$B$9,"SampleName",$I$5,"TargetName",B44)</f>
        <v>-2.0975631994675226E-2</v>
      </c>
      <c r="F44" s="30">
        <f t="shared" si="0"/>
        <v>1.0146454084520136</v>
      </c>
    </row>
    <row r="45" spans="1:6" x14ac:dyDescent="0.25">
      <c r="A45" s="29" t="s">
        <v>20</v>
      </c>
      <c r="B45" s="29" t="s">
        <v>25</v>
      </c>
      <c r="C45" s="29">
        <v>19.199630084929399</v>
      </c>
      <c r="D45" s="30">
        <f>C45-GETPIVOTDATA("Ct",Result!$B$2,"SampleName",A45,"TargetName",$I$4)</f>
        <v>4.2532533721158003</v>
      </c>
      <c r="E45" s="30">
        <f>D45-GETPIVOTDATA("dCt",Result!$B$9,"SampleName",$I$5,"TargetName",B45)</f>
        <v>-2.6699967493575727E-2</v>
      </c>
      <c r="F45" s="30">
        <f t="shared" si="0"/>
        <v>1.0186793232233327</v>
      </c>
    </row>
    <row r="46" spans="1:6" x14ac:dyDescent="0.25">
      <c r="A46" s="29" t="s">
        <v>20</v>
      </c>
      <c r="B46" s="29" t="s">
        <v>25</v>
      </c>
      <c r="C46" s="29">
        <v>19.1685989759542</v>
      </c>
      <c r="D46" s="30">
        <f>C46-GETPIVOTDATA("Ct",Result!$B$2,"SampleName",A46,"TargetName",$I$4)</f>
        <v>4.2222222631406012</v>
      </c>
      <c r="E46" s="30">
        <f>D46-GETPIVOTDATA("dCt",Result!$B$9,"SampleName",$I$5,"TargetName",B46)</f>
        <v>-5.7731076468774845E-2</v>
      </c>
      <c r="F46" s="30">
        <f t="shared" si="0"/>
        <v>1.0408275656083845</v>
      </c>
    </row>
    <row r="47" spans="1:6" x14ac:dyDescent="0.25">
      <c r="A47" s="29" t="s">
        <v>20</v>
      </c>
      <c r="B47" s="29" t="s">
        <v>25</v>
      </c>
      <c r="C47" s="29">
        <v>19.331736728380001</v>
      </c>
      <c r="D47" s="30">
        <f>C47-GETPIVOTDATA("Ct",Result!$B$2,"SampleName",A47,"TargetName",$I$4)</f>
        <v>4.3853600155664019</v>
      </c>
      <c r="E47" s="30">
        <f>D47-GETPIVOTDATA("dCt",Result!$B$9,"SampleName",$I$5,"TargetName",B47)</f>
        <v>0.1054066759570258</v>
      </c>
      <c r="F47" s="30">
        <f t="shared" si="0"/>
        <v>0.92954288028228738</v>
      </c>
    </row>
    <row r="48" spans="1:6" x14ac:dyDescent="0.25">
      <c r="A48" s="29" t="s">
        <v>21</v>
      </c>
      <c r="B48" s="29" t="s">
        <v>25</v>
      </c>
      <c r="C48" s="29">
        <v>20.528712060251301</v>
      </c>
      <c r="D48" s="30">
        <f>C48-GETPIVOTDATA("Ct",Result!$B$2,"SampleName",A48,"TargetName",$I$4)</f>
        <v>5.6698343980777501</v>
      </c>
      <c r="E48" s="30">
        <f>D48-GETPIVOTDATA("dCt",Result!$B$9,"SampleName",$I$5,"TargetName",B48)</f>
        <v>1.3898810584683741</v>
      </c>
      <c r="F48" s="30">
        <f t="shared" si="0"/>
        <v>0.38159626126063473</v>
      </c>
    </row>
    <row r="49" spans="1:6" x14ac:dyDescent="0.25">
      <c r="A49" s="29" t="s">
        <v>21</v>
      </c>
      <c r="B49" s="29" t="s">
        <v>25</v>
      </c>
      <c r="C49" s="29">
        <v>20.5499362884512</v>
      </c>
      <c r="D49" s="30">
        <f>C49-GETPIVOTDATA("Ct",Result!$B$2,"SampleName",A49,"TargetName",$I$4)</f>
        <v>5.6910586262776484</v>
      </c>
      <c r="E49" s="30">
        <f>D49-GETPIVOTDATA("dCt",Result!$B$9,"SampleName",$I$5,"TargetName",B49)</f>
        <v>1.4111052866682723</v>
      </c>
      <c r="F49" s="30">
        <f t="shared" si="0"/>
        <v>0.37602349496803095</v>
      </c>
    </row>
    <row r="50" spans="1:6" x14ac:dyDescent="0.25">
      <c r="A50" s="29" t="s">
        <v>21</v>
      </c>
      <c r="B50" s="29" t="s">
        <v>25</v>
      </c>
      <c r="C50" s="29">
        <v>20.568481465839501</v>
      </c>
      <c r="D50" s="30">
        <f>C50-GETPIVOTDATA("Ct",Result!$B$2,"SampleName",A50,"TargetName",$I$4)</f>
        <v>5.7096038036659493</v>
      </c>
      <c r="E50" s="30">
        <f>D50-GETPIVOTDATA("dCt",Result!$B$9,"SampleName",$I$5,"TargetName",B50)</f>
        <v>1.4296504640565733</v>
      </c>
      <c r="F50" s="30">
        <f t="shared" si="0"/>
        <v>0.37122082108911914</v>
      </c>
    </row>
    <row r="51" spans="1:6" x14ac:dyDescent="0.25">
      <c r="A51" s="29" t="s">
        <v>21</v>
      </c>
      <c r="B51" s="29" t="s">
        <v>25</v>
      </c>
      <c r="C51" s="29">
        <v>20.535255444621601</v>
      </c>
      <c r="D51" s="30">
        <f>C51-GETPIVOTDATA("Ct",Result!$B$2,"SampleName",A51,"TargetName",$I$4)</f>
        <v>5.6763777824480499</v>
      </c>
      <c r="E51" s="30">
        <f>D51-GETPIVOTDATA("dCt",Result!$B$9,"SampleName",$I$5,"TargetName",B51)</f>
        <v>1.3964244428386738</v>
      </c>
      <c r="F51" s="30">
        <f t="shared" si="0"/>
        <v>0.37986943955449831</v>
      </c>
    </row>
    <row r="52" spans="1:6" x14ac:dyDescent="0.25">
      <c r="A52" s="29" t="s">
        <v>22</v>
      </c>
      <c r="B52" s="29" t="s">
        <v>25</v>
      </c>
      <c r="C52" s="29">
        <v>21.426488058529898</v>
      </c>
      <c r="D52" s="30">
        <f>C52-GETPIVOTDATA("Ct",Result!$B$2,"SampleName",A52,"TargetName",$I$4)</f>
        <v>6.4302818799740464</v>
      </c>
      <c r="E52" s="30">
        <f>D52-GETPIVOTDATA("dCt",Result!$B$9,"SampleName",$I$5,"TargetName",B52)</f>
        <v>2.1503285403646704</v>
      </c>
      <c r="F52" s="30">
        <f t="shared" si="0"/>
        <v>0.22526131176741296</v>
      </c>
    </row>
    <row r="53" spans="1:6" x14ac:dyDescent="0.25">
      <c r="A53" s="29" t="s">
        <v>22</v>
      </c>
      <c r="B53" s="29" t="s">
        <v>25</v>
      </c>
      <c r="C53" s="29">
        <v>21.4940417564152</v>
      </c>
      <c r="D53" s="30">
        <f>C53-GETPIVOTDATA("Ct",Result!$B$2,"SampleName",A53,"TargetName",$I$4)</f>
        <v>6.4978355778593482</v>
      </c>
      <c r="E53" s="30">
        <f>D53-GETPIVOTDATA("dCt",Result!$B$9,"SampleName",$I$5,"TargetName",B53)</f>
        <v>2.2178822382499721</v>
      </c>
      <c r="F53" s="30">
        <f t="shared" si="0"/>
        <v>0.21495666694592358</v>
      </c>
    </row>
    <row r="54" spans="1:6" x14ac:dyDescent="0.25">
      <c r="A54" s="29" t="s">
        <v>22</v>
      </c>
      <c r="B54" s="29" t="s">
        <v>25</v>
      </c>
      <c r="C54" s="29">
        <v>21.447419050052801</v>
      </c>
      <c r="D54" s="30">
        <f>C54-GETPIVOTDATA("Ct",Result!$B$2,"SampleName",A54,"TargetName",$I$4)</f>
        <v>6.4512128714969492</v>
      </c>
      <c r="E54" s="30">
        <f>D54-GETPIVOTDATA("dCt",Result!$B$9,"SampleName",$I$5,"TargetName",B54)</f>
        <v>2.1712595318875731</v>
      </c>
      <c r="F54" s="30">
        <f t="shared" si="0"/>
        <v>0.22201675593092696</v>
      </c>
    </row>
    <row r="55" spans="1:6" x14ac:dyDescent="0.25">
      <c r="A55" s="29" t="s">
        <v>22</v>
      </c>
      <c r="B55" s="29" t="s">
        <v>25</v>
      </c>
      <c r="C55" s="29">
        <v>21.515955508843799</v>
      </c>
      <c r="D55" s="30">
        <f>C55-GETPIVOTDATA("Ct",Result!$B$2,"SampleName",A55,"TargetName",$I$4)</f>
        <v>6.5197493302879472</v>
      </c>
      <c r="E55" s="30">
        <f>D55-GETPIVOTDATA("dCt",Result!$B$9,"SampleName",$I$5,"TargetName",B55)</f>
        <v>2.2397959906785712</v>
      </c>
      <c r="F55" s="30">
        <f t="shared" si="0"/>
        <v>0.21171626445036251</v>
      </c>
    </row>
    <row r="56" spans="1:6" x14ac:dyDescent="0.25">
      <c r="A56" s="29" t="s">
        <v>20</v>
      </c>
      <c r="B56" s="29" t="s">
        <v>26</v>
      </c>
      <c r="C56" s="29">
        <v>23.501653442213101</v>
      </c>
      <c r="D56" s="30">
        <f>C56-GETPIVOTDATA("Ct",Result!$B$2,"SampleName",A56,"TargetName",$I$4)</f>
        <v>8.5552767293995018</v>
      </c>
      <c r="E56" s="30">
        <f>D56-GETPIVOTDATA("dCt",Result!$B$9,"SampleName",$I$5,"TargetName",B56)</f>
        <v>3.6870574670398781E-2</v>
      </c>
      <c r="F56" s="30">
        <f t="shared" si="0"/>
        <v>0.97476707410546948</v>
      </c>
    </row>
    <row r="57" spans="1:6" x14ac:dyDescent="0.25">
      <c r="A57" s="29" t="s">
        <v>20</v>
      </c>
      <c r="B57" s="29" t="s">
        <v>26</v>
      </c>
      <c r="C57" s="29">
        <v>23.343573334985201</v>
      </c>
      <c r="D57" s="30">
        <f>C57-GETPIVOTDATA("Ct",Result!$B$2,"SampleName",A57,"TargetName",$I$4)</f>
        <v>8.3971966221716023</v>
      </c>
      <c r="E57" s="30">
        <f>D57-GETPIVOTDATA("dCt",Result!$B$9,"SampleName",$I$5,"TargetName",B57)</f>
        <v>-0.12120953255750067</v>
      </c>
      <c r="F57" s="30">
        <f t="shared" si="0"/>
        <v>1.0876463457693157</v>
      </c>
    </row>
    <row r="58" spans="1:6" x14ac:dyDescent="0.25">
      <c r="A58" s="29" t="s">
        <v>20</v>
      </c>
      <c r="B58" s="29" t="s">
        <v>26</v>
      </c>
      <c r="C58" s="29">
        <v>23.536675890701702</v>
      </c>
      <c r="D58" s="30">
        <f>C58-GETPIVOTDATA("Ct",Result!$B$2,"SampleName",A58,"TargetName",$I$4)</f>
        <v>8.5902991778881024</v>
      </c>
      <c r="E58" s="30">
        <f>D58-GETPIVOTDATA("dCt",Result!$B$9,"SampleName",$I$5,"TargetName",B58)</f>
        <v>7.189302315899937E-2</v>
      </c>
      <c r="F58" s="30">
        <f t="shared" si="0"/>
        <v>0.95138881985923829</v>
      </c>
    </row>
    <row r="59" spans="1:6" x14ac:dyDescent="0.25">
      <c r="A59" s="29" t="s">
        <v>20</v>
      </c>
      <c r="B59" s="29" t="s">
        <v>26</v>
      </c>
      <c r="C59" s="29">
        <v>23.477228802270801</v>
      </c>
      <c r="D59" s="30">
        <f>C59-GETPIVOTDATA("Ct",Result!$B$2,"SampleName",A59,"TargetName",$I$4)</f>
        <v>8.530852089457202</v>
      </c>
      <c r="E59" s="30">
        <f>D59-GETPIVOTDATA("dCt",Result!$B$9,"SampleName",$I$5,"TargetName",B59)</f>
        <v>1.2445934728098962E-2</v>
      </c>
      <c r="F59" s="30">
        <f t="shared" si="0"/>
        <v>0.99141024005439904</v>
      </c>
    </row>
    <row r="60" spans="1:6" x14ac:dyDescent="0.25">
      <c r="A60" s="29" t="s">
        <v>21</v>
      </c>
      <c r="B60" s="29" t="s">
        <v>26</v>
      </c>
      <c r="C60" s="29">
        <v>23.946066138924198</v>
      </c>
      <c r="D60" s="30">
        <f>C60-GETPIVOTDATA("Ct",Result!$B$2,"SampleName",A60,"TargetName",$I$4)</f>
        <v>9.0871884767506472</v>
      </c>
      <c r="E60" s="30">
        <f>D60-GETPIVOTDATA("dCt",Result!$B$9,"SampleName",$I$5,"TargetName",B60)</f>
        <v>0.56878232202154422</v>
      </c>
      <c r="F60" s="30">
        <f t="shared" si="0"/>
        <v>0.67418558125493655</v>
      </c>
    </row>
    <row r="61" spans="1:6" x14ac:dyDescent="0.25">
      <c r="A61" s="29" t="s">
        <v>21</v>
      </c>
      <c r="B61" s="29" t="s">
        <v>26</v>
      </c>
      <c r="C61" s="29">
        <v>23.8311600162269</v>
      </c>
      <c r="D61" s="30">
        <f>C61-GETPIVOTDATA("Ct",Result!$B$2,"SampleName",A61,"TargetName",$I$4)</f>
        <v>8.9722823540533483</v>
      </c>
      <c r="E61" s="30">
        <f>D61-GETPIVOTDATA("dCt",Result!$B$9,"SampleName",$I$5,"TargetName",B61)</f>
        <v>0.45387619932424528</v>
      </c>
      <c r="F61" s="30">
        <f t="shared" si="0"/>
        <v>0.73007865221382917</v>
      </c>
    </row>
    <row r="62" spans="1:6" x14ac:dyDescent="0.25">
      <c r="A62" s="29" t="s">
        <v>21</v>
      </c>
      <c r="B62" s="29" t="s">
        <v>26</v>
      </c>
      <c r="C62" s="29">
        <v>23.898530153585298</v>
      </c>
      <c r="D62" s="30">
        <f>C62-GETPIVOTDATA("Ct",Result!$B$2,"SampleName",A62,"TargetName",$I$4)</f>
        <v>9.0396524914117471</v>
      </c>
      <c r="E62" s="30">
        <f>D62-GETPIVOTDATA("dCt",Result!$B$9,"SampleName",$I$5,"TargetName",B62)</f>
        <v>0.52124633668264408</v>
      </c>
      <c r="F62" s="30">
        <f t="shared" si="0"/>
        <v>0.6967696374587361</v>
      </c>
    </row>
    <row r="63" spans="1:6" x14ac:dyDescent="0.25">
      <c r="A63" s="29" t="s">
        <v>21</v>
      </c>
      <c r="B63" s="29" t="s">
        <v>26</v>
      </c>
      <c r="C63" s="29">
        <v>23.944534171768201</v>
      </c>
      <c r="D63" s="30">
        <f>C63-GETPIVOTDATA("Ct",Result!$B$2,"SampleName",A63,"TargetName",$I$4)</f>
        <v>9.0856565095946493</v>
      </c>
      <c r="E63" s="30">
        <f>D63-GETPIVOTDATA("dCt",Result!$B$9,"SampleName",$I$5,"TargetName",B63)</f>
        <v>0.56725035486554631</v>
      </c>
      <c r="F63" s="30">
        <f t="shared" si="0"/>
        <v>0.67490186480938141</v>
      </c>
    </row>
    <row r="64" spans="1:6" x14ac:dyDescent="0.25">
      <c r="A64" s="29" t="s">
        <v>22</v>
      </c>
      <c r="B64" s="29" t="s">
        <v>26</v>
      </c>
      <c r="C64" s="29">
        <v>24.612858267208999</v>
      </c>
      <c r="D64" s="30">
        <f>C64-GETPIVOTDATA("Ct",Result!$B$2,"SampleName",A64,"TargetName",$I$4)</f>
        <v>9.6166520886531472</v>
      </c>
      <c r="E64" s="30">
        <f>D64-GETPIVOTDATA("dCt",Result!$B$9,"SampleName",$I$5,"TargetName",B64)</f>
        <v>1.0982459339240442</v>
      </c>
      <c r="F64" s="30">
        <f t="shared" si="0"/>
        <v>0.46708404358219213</v>
      </c>
    </row>
    <row r="65" spans="1:6" x14ac:dyDescent="0.25">
      <c r="A65" s="29" t="s">
        <v>22</v>
      </c>
      <c r="B65" s="29" t="s">
        <v>26</v>
      </c>
      <c r="C65" s="29">
        <v>24.493124666452001</v>
      </c>
      <c r="D65" s="30">
        <f>C65-GETPIVOTDATA("Ct",Result!$B$2,"SampleName",A65,"TargetName",$I$4)</f>
        <v>9.4969184878961492</v>
      </c>
      <c r="E65" s="30">
        <f>D65-GETPIVOTDATA("dCt",Result!$B$9,"SampleName",$I$5,"TargetName",B65)</f>
        <v>0.97851233316704622</v>
      </c>
      <c r="F65" s="30">
        <f t="shared" si="0"/>
        <v>0.50750279287575861</v>
      </c>
    </row>
    <row r="66" spans="1:6" x14ac:dyDescent="0.25">
      <c r="A66" s="29" t="s">
        <v>22</v>
      </c>
      <c r="B66" s="29" t="s">
        <v>26</v>
      </c>
      <c r="C66" s="29">
        <v>24.574505048022701</v>
      </c>
      <c r="D66" s="30">
        <f>C66-GETPIVOTDATA("Ct",Result!$B$2,"SampleName",A66,"TargetName",$I$4)</f>
        <v>9.5782988694668489</v>
      </c>
      <c r="E66" s="30">
        <f>D66-GETPIVOTDATA("dCt",Result!$B$9,"SampleName",$I$5,"TargetName",B66)</f>
        <v>1.0598927147377459</v>
      </c>
      <c r="F66" s="30">
        <f t="shared" si="0"/>
        <v>0.47966772857615764</v>
      </c>
    </row>
    <row r="67" spans="1:6" x14ac:dyDescent="0.25">
      <c r="A67" s="29" t="s">
        <v>22</v>
      </c>
      <c r="B67" s="29" t="s">
        <v>26</v>
      </c>
      <c r="C67" s="29">
        <v>24.657321941375098</v>
      </c>
      <c r="D67" s="30">
        <f>C67-GETPIVOTDATA("Ct",Result!$B$2,"SampleName",A67,"TargetName",$I$4)</f>
        <v>9.6611157628192466</v>
      </c>
      <c r="E67" s="30">
        <f>D67-GETPIVOTDATA("dCt",Result!$B$9,"SampleName",$I$5,"TargetName",B67)</f>
        <v>1.1427096080901435</v>
      </c>
      <c r="F67" s="30">
        <f t="shared" ref="F67:F91" si="1">2^(-E67)</f>
        <v>0.4529081456489209</v>
      </c>
    </row>
    <row r="68" spans="1:6" x14ac:dyDescent="0.25">
      <c r="A68" s="29" t="s">
        <v>20</v>
      </c>
      <c r="B68" s="29" t="s">
        <v>27</v>
      </c>
      <c r="C68" s="29">
        <v>28.6316104260471</v>
      </c>
      <c r="D68" s="30">
        <f>C68-GETPIVOTDATA("Ct",Result!$B$2,"SampleName",A68,"TargetName",$I$4)</f>
        <v>13.685233713233501</v>
      </c>
      <c r="E68" s="30">
        <f>D68-GETPIVOTDATA("dCt",Result!$B$9,"SampleName",$I$5,"TargetName",B68)</f>
        <v>-7.1850385311799769E-2</v>
      </c>
      <c r="F68" s="30">
        <f t="shared" si="1"/>
        <v>1.0510639028542526</v>
      </c>
    </row>
    <row r="69" spans="1:6" x14ac:dyDescent="0.25">
      <c r="A69" s="29" t="s">
        <v>20</v>
      </c>
      <c r="B69" s="29" t="s">
        <v>27</v>
      </c>
      <c r="C69" s="29">
        <v>28.6869728327618</v>
      </c>
      <c r="D69" s="30">
        <f>C69-GETPIVOTDATA("Ct",Result!$B$2,"SampleName",A69,"TargetName",$I$4)</f>
        <v>13.740596119948201</v>
      </c>
      <c r="E69" s="30">
        <f>D69-GETPIVOTDATA("dCt",Result!$B$9,"SampleName",$I$5,"TargetName",B69)</f>
        <v>-1.6487978597099939E-2</v>
      </c>
      <c r="F69" s="30">
        <f t="shared" si="1"/>
        <v>1.0114941517788545</v>
      </c>
    </row>
    <row r="70" spans="1:6" x14ac:dyDescent="0.25">
      <c r="A70" s="29" t="s">
        <v>20</v>
      </c>
      <c r="B70" s="29" t="s">
        <v>27</v>
      </c>
      <c r="C70" s="29">
        <v>28.811508865947399</v>
      </c>
      <c r="D70" s="30">
        <f>C70-GETPIVOTDATA("Ct",Result!$B$2,"SampleName",A70,"TargetName",$I$4)</f>
        <v>13.8651321531338</v>
      </c>
      <c r="E70" s="30">
        <f>D70-GETPIVOTDATA("dCt",Result!$B$9,"SampleName",$I$5,"TargetName",B70)</f>
        <v>0.1080480545884992</v>
      </c>
      <c r="F70" s="30">
        <f t="shared" si="1"/>
        <v>0.9278425705388178</v>
      </c>
    </row>
    <row r="71" spans="1:6" x14ac:dyDescent="0.25">
      <c r="A71" s="29" t="s">
        <v>20</v>
      </c>
      <c r="B71" s="29" t="s">
        <v>27</v>
      </c>
      <c r="C71" s="29">
        <v>28.6837511206793</v>
      </c>
      <c r="D71" s="30">
        <f>C71-GETPIVOTDATA("Ct",Result!$B$2,"SampleName",A71,"TargetName",$I$4)</f>
        <v>13.737374407865701</v>
      </c>
      <c r="E71" s="30">
        <f>D71-GETPIVOTDATA("dCt",Result!$B$9,"SampleName",$I$5,"TargetName",B71)</f>
        <v>-1.970969067959949E-2</v>
      </c>
      <c r="F71" s="30">
        <f t="shared" si="1"/>
        <v>1.0137554642050695</v>
      </c>
    </row>
    <row r="72" spans="1:6" x14ac:dyDescent="0.25">
      <c r="A72" s="29" t="s">
        <v>21</v>
      </c>
      <c r="B72" s="29" t="s">
        <v>27</v>
      </c>
      <c r="C72" s="29">
        <v>28.535040424906999</v>
      </c>
      <c r="D72" s="30">
        <f>C72-GETPIVOTDATA("Ct",Result!$B$2,"SampleName",A72,"TargetName",$I$4)</f>
        <v>13.676162762733448</v>
      </c>
      <c r="E72" s="30">
        <f>D72-GETPIVOTDATA("dCt",Result!$B$9,"SampleName",$I$5,"TargetName",B72)</f>
        <v>-8.0921335811853012E-2</v>
      </c>
      <c r="F72" s="30">
        <f t="shared" si="1"/>
        <v>1.0576932904095868</v>
      </c>
    </row>
    <row r="73" spans="1:6" x14ac:dyDescent="0.25">
      <c r="A73" s="29" t="s">
        <v>21</v>
      </c>
      <c r="B73" s="29" t="s">
        <v>27</v>
      </c>
      <c r="C73" s="29">
        <v>28.5709919688755</v>
      </c>
      <c r="D73" s="30">
        <f>C73-GETPIVOTDATA("Ct",Result!$B$2,"SampleName",A73,"TargetName",$I$4)</f>
        <v>13.712114306701949</v>
      </c>
      <c r="E73" s="30">
        <f>D73-GETPIVOTDATA("dCt",Result!$B$9,"SampleName",$I$5,"TargetName",B73)</f>
        <v>-4.4969791843351814E-2</v>
      </c>
      <c r="F73" s="30">
        <f t="shared" si="1"/>
        <v>1.0316615774243643</v>
      </c>
    </row>
    <row r="74" spans="1:6" x14ac:dyDescent="0.25">
      <c r="A74" s="29" t="s">
        <v>21</v>
      </c>
      <c r="B74" s="29" t="s">
        <v>27</v>
      </c>
      <c r="C74" s="29">
        <v>28.793075032118001</v>
      </c>
      <c r="D74" s="30">
        <f>C74-GETPIVOTDATA("Ct",Result!$B$2,"SampleName",A74,"TargetName",$I$4)</f>
        <v>13.934197369944449</v>
      </c>
      <c r="E74" s="30">
        <f>D74-GETPIVOTDATA("dCt",Result!$B$9,"SampleName",$I$5,"TargetName",B74)</f>
        <v>0.17711327139914879</v>
      </c>
      <c r="F74" s="30">
        <f t="shared" si="1"/>
        <v>0.88447098947035185</v>
      </c>
    </row>
    <row r="75" spans="1:6" x14ac:dyDescent="0.25">
      <c r="A75" s="29" t="s">
        <v>21</v>
      </c>
      <c r="B75" s="29" t="s">
        <v>27</v>
      </c>
      <c r="C75" s="29">
        <v>28.448547200813099</v>
      </c>
      <c r="D75" s="30">
        <f>C75-GETPIVOTDATA("Ct",Result!$B$2,"SampleName",A75,"TargetName",$I$4)</f>
        <v>13.589669538639548</v>
      </c>
      <c r="E75" s="30">
        <f>D75-GETPIVOTDATA("dCt",Result!$B$9,"SampleName",$I$5,"TargetName",B75)</f>
        <v>-0.16741455990575282</v>
      </c>
      <c r="F75" s="30">
        <f t="shared" si="1"/>
        <v>1.1230440835868101</v>
      </c>
    </row>
    <row r="76" spans="1:6" x14ac:dyDescent="0.25">
      <c r="A76" s="29" t="s">
        <v>22</v>
      </c>
      <c r="B76" s="29" t="s">
        <v>27</v>
      </c>
      <c r="C76" s="29">
        <v>28.828208281345201</v>
      </c>
      <c r="D76" s="30">
        <f>C76-GETPIVOTDATA("Ct",Result!$B$2,"SampleName",A76,"TargetName",$I$4)</f>
        <v>13.83200210278935</v>
      </c>
      <c r="E76" s="30">
        <f>D76-GETPIVOTDATA("dCt",Result!$B$9,"SampleName",$I$5,"TargetName",B76)</f>
        <v>7.491800424404893E-2</v>
      </c>
      <c r="F76" s="30">
        <f t="shared" si="1"/>
        <v>0.94939607846390894</v>
      </c>
    </row>
    <row r="77" spans="1:6" x14ac:dyDescent="0.25">
      <c r="A77" s="29" t="s">
        <v>22</v>
      </c>
      <c r="B77" s="29" t="s">
        <v>27</v>
      </c>
      <c r="C77" s="29">
        <v>29.049813194871</v>
      </c>
      <c r="D77" s="30">
        <f>C77-GETPIVOTDATA("Ct",Result!$B$2,"SampleName",A77,"TargetName",$I$4)</f>
        <v>14.053607016315148</v>
      </c>
      <c r="E77" s="30">
        <f>D77-GETPIVOTDATA("dCt",Result!$B$9,"SampleName",$I$5,"TargetName",B77)</f>
        <v>0.29652291776984718</v>
      </c>
      <c r="F77" s="30">
        <f t="shared" si="1"/>
        <v>0.81421239098858378</v>
      </c>
    </row>
    <row r="78" spans="1:6" x14ac:dyDescent="0.25">
      <c r="A78" s="29" t="s">
        <v>22</v>
      </c>
      <c r="B78" s="29" t="s">
        <v>27</v>
      </c>
      <c r="C78" s="29">
        <v>28.805175517632801</v>
      </c>
      <c r="D78" s="30">
        <f>C78-GETPIVOTDATA("Ct",Result!$B$2,"SampleName",A78,"TargetName",$I$4)</f>
        <v>13.808969339076949</v>
      </c>
      <c r="E78" s="30">
        <f>D78-GETPIVOTDATA("dCt",Result!$B$9,"SampleName",$I$5,"TargetName",B78)</f>
        <v>5.1885240531648336E-2</v>
      </c>
      <c r="F78" s="30">
        <f t="shared" si="1"/>
        <v>0.96467491679331197</v>
      </c>
    </row>
    <row r="79" spans="1:6" x14ac:dyDescent="0.25">
      <c r="A79" s="29" t="s">
        <v>22</v>
      </c>
      <c r="B79" s="29" t="s">
        <v>27</v>
      </c>
      <c r="C79" s="29">
        <v>28.781794147554301</v>
      </c>
      <c r="D79" s="30">
        <f>C79-GETPIVOTDATA("Ct",Result!$B$2,"SampleName",A79,"TargetName",$I$4)</f>
        <v>13.785587968998449</v>
      </c>
      <c r="E79" s="30">
        <f>D79-GETPIVOTDATA("dCt",Result!$B$9,"SampleName",$I$5,"TargetName",B79)</f>
        <v>2.8503870453148394E-2</v>
      </c>
      <c r="F79" s="30">
        <f t="shared" si="1"/>
        <v>0.98043652047090601</v>
      </c>
    </row>
    <row r="80" spans="1:6" x14ac:dyDescent="0.25">
      <c r="A80" s="29" t="s">
        <v>20</v>
      </c>
      <c r="B80" s="29" t="s">
        <v>28</v>
      </c>
      <c r="C80" s="29">
        <v>23.917713071511699</v>
      </c>
      <c r="D80" s="30">
        <f>C80-GETPIVOTDATA("Ct",Result!$B$2,"SampleName",A80,"TargetName",$I$4)</f>
        <v>8.9713363586980996</v>
      </c>
      <c r="E80" s="30">
        <f>D80-GETPIVOTDATA("dCt",Result!$B$9,"SampleName",$I$5,"TargetName",B80)</f>
        <v>-0.19160474278342576</v>
      </c>
      <c r="F80" s="30">
        <f t="shared" si="1"/>
        <v>1.1420333194876857</v>
      </c>
    </row>
    <row r="81" spans="1:6" x14ac:dyDescent="0.25">
      <c r="A81" s="29" t="s">
        <v>20</v>
      </c>
      <c r="B81" s="29" t="s">
        <v>28</v>
      </c>
      <c r="C81" s="29">
        <v>23.969114360264101</v>
      </c>
      <c r="D81" s="30">
        <f>C81-GETPIVOTDATA("Ct",Result!$B$2,"SampleName",A81,"TargetName",$I$4)</f>
        <v>9.0227376474505014</v>
      </c>
      <c r="E81" s="30">
        <f>D81-GETPIVOTDATA("dCt",Result!$B$9,"SampleName",$I$5,"TargetName",B81)</f>
        <v>-0.14020345403102397</v>
      </c>
      <c r="F81" s="30">
        <f t="shared" si="1"/>
        <v>1.1020605214473307</v>
      </c>
    </row>
    <row r="82" spans="1:6" x14ac:dyDescent="0.25">
      <c r="A82" s="29" t="s">
        <v>20</v>
      </c>
      <c r="B82" s="29" t="s">
        <v>28</v>
      </c>
      <c r="C82" s="29">
        <v>24.2790053520886</v>
      </c>
      <c r="D82" s="30">
        <f>C82-GETPIVOTDATA("Ct",Result!$B$2,"SampleName",A82,"TargetName",$I$4)</f>
        <v>9.3326286392750006</v>
      </c>
      <c r="E82" s="30">
        <f>D82-GETPIVOTDATA("dCt",Result!$B$9,"SampleName",$I$5,"TargetName",B82)</f>
        <v>0.16968753779347523</v>
      </c>
      <c r="F82" s="30">
        <f t="shared" si="1"/>
        <v>0.88903520960493232</v>
      </c>
    </row>
    <row r="83" spans="1:6" x14ac:dyDescent="0.25">
      <c r="A83" s="29" t="s">
        <v>20</v>
      </c>
      <c r="B83" s="29" t="s">
        <v>28</v>
      </c>
      <c r="C83" s="29">
        <v>24.271438473316099</v>
      </c>
      <c r="D83" s="30">
        <f>C83-GETPIVOTDATA("Ct",Result!$B$2,"SampleName",A83,"TargetName",$I$4)</f>
        <v>9.3250617605024999</v>
      </c>
      <c r="E83" s="30">
        <f>D83-GETPIVOTDATA("dCt",Result!$B$9,"SampleName",$I$5,"TargetName",B83)</f>
        <v>0.1621206590209745</v>
      </c>
      <c r="F83" s="30">
        <f t="shared" si="1"/>
        <v>0.89371041424300335</v>
      </c>
    </row>
    <row r="84" spans="1:6" x14ac:dyDescent="0.25">
      <c r="A84" s="29" t="s">
        <v>21</v>
      </c>
      <c r="B84" s="29" t="s">
        <v>28</v>
      </c>
      <c r="C84" s="29">
        <v>24.108699661509199</v>
      </c>
      <c r="D84" s="30">
        <f>C84-GETPIVOTDATA("Ct",Result!$B$2,"SampleName",A84,"TargetName",$I$4)</f>
        <v>9.2498219993356479</v>
      </c>
      <c r="E84" s="30">
        <f>D84-GETPIVOTDATA("dCt",Result!$B$9,"SampleName",$I$5,"TargetName",B84)</f>
        <v>8.6880897854122452E-2</v>
      </c>
      <c r="F84" s="30">
        <f t="shared" si="1"/>
        <v>0.94155619180228656</v>
      </c>
    </row>
    <row r="85" spans="1:6" x14ac:dyDescent="0.25">
      <c r="A85" s="29" t="s">
        <v>21</v>
      </c>
      <c r="B85" s="29" t="s">
        <v>28</v>
      </c>
      <c r="C85" s="29">
        <v>24.514132883184899</v>
      </c>
      <c r="D85" s="30">
        <f>C85-GETPIVOTDATA("Ct",Result!$B$2,"SampleName",A85,"TargetName",$I$4)</f>
        <v>9.6552552210113483</v>
      </c>
      <c r="E85" s="30">
        <f>D85-GETPIVOTDATA("dCt",Result!$B$9,"SampleName",$I$5,"TargetName",B85)</f>
        <v>0.49231411952982285</v>
      </c>
      <c r="F85" s="30">
        <f t="shared" si="1"/>
        <v>0.71088390693086045</v>
      </c>
    </row>
    <row r="86" spans="1:6" x14ac:dyDescent="0.25">
      <c r="A86" s="29" t="s">
        <v>21</v>
      </c>
      <c r="B86" s="29" t="s">
        <v>28</v>
      </c>
      <c r="C86" s="29">
        <v>24.603327254780901</v>
      </c>
      <c r="D86" s="30">
        <f>C86-GETPIVOTDATA("Ct",Result!$B$2,"SampleName",A86,"TargetName",$I$4)</f>
        <v>9.7444495926073493</v>
      </c>
      <c r="E86" s="30">
        <f>D86-GETPIVOTDATA("dCt",Result!$B$9,"SampleName",$I$5,"TargetName",B86)</f>
        <v>0.58150849112582392</v>
      </c>
      <c r="F86" s="30">
        <f t="shared" si="1"/>
        <v>0.66826467016478308</v>
      </c>
    </row>
    <row r="87" spans="1:6" x14ac:dyDescent="0.25">
      <c r="A87" s="29" t="s">
        <v>21</v>
      </c>
      <c r="B87" s="29" t="s">
        <v>28</v>
      </c>
      <c r="C87" s="29">
        <v>24.690717221592699</v>
      </c>
      <c r="D87" s="30">
        <f>C87-GETPIVOTDATA("Ct",Result!$B$2,"SampleName",A87,"TargetName",$I$4)</f>
        <v>9.8318395594191479</v>
      </c>
      <c r="E87" s="30">
        <f>D87-GETPIVOTDATA("dCt",Result!$B$9,"SampleName",$I$5,"TargetName",B87)</f>
        <v>0.66889845793762248</v>
      </c>
      <c r="F87" s="30">
        <f t="shared" si="1"/>
        <v>0.62898675470862153</v>
      </c>
    </row>
    <row r="88" spans="1:6" x14ac:dyDescent="0.25">
      <c r="A88" s="29" t="s">
        <v>22</v>
      </c>
      <c r="B88" s="29" t="s">
        <v>28</v>
      </c>
      <c r="C88" s="29">
        <v>24.748017911666601</v>
      </c>
      <c r="D88" s="30">
        <f>C88-GETPIVOTDATA("Ct",Result!$B$2,"SampleName",A88,"TargetName",$I$4)</f>
        <v>9.751811733110749</v>
      </c>
      <c r="E88" s="30">
        <f>D88-GETPIVOTDATA("dCt",Result!$B$9,"SampleName",$I$5,"TargetName",B88)</f>
        <v>0.5888706316292236</v>
      </c>
      <c r="F88" s="30">
        <f t="shared" si="1"/>
        <v>0.66486317057696687</v>
      </c>
    </row>
    <row r="89" spans="1:6" x14ac:dyDescent="0.25">
      <c r="A89" s="29" t="s">
        <v>22</v>
      </c>
      <c r="B89" s="29" t="s">
        <v>28</v>
      </c>
      <c r="C89" s="29">
        <v>24.743395174012001</v>
      </c>
      <c r="D89" s="30">
        <f>C89-GETPIVOTDATA("Ct",Result!$B$2,"SampleName",A89,"TargetName",$I$4)</f>
        <v>9.747188995456149</v>
      </c>
      <c r="E89" s="30">
        <f>D89-GETPIVOTDATA("dCt",Result!$B$9,"SampleName",$I$5,"TargetName",B89)</f>
        <v>0.58424789397462362</v>
      </c>
      <c r="F89" s="30">
        <f t="shared" si="1"/>
        <v>0.66699696689771115</v>
      </c>
    </row>
    <row r="90" spans="1:6" x14ac:dyDescent="0.25">
      <c r="A90" s="29" t="s">
        <v>22</v>
      </c>
      <c r="B90" s="29" t="s">
        <v>28</v>
      </c>
      <c r="C90" s="29">
        <v>25.0364828059448</v>
      </c>
      <c r="D90" s="30">
        <f>C90-GETPIVOTDATA("Ct",Result!$B$2,"SampleName",A90,"TargetName",$I$4)</f>
        <v>10.040276627388948</v>
      </c>
      <c r="E90" s="30">
        <f>D90-GETPIVOTDATA("dCt",Result!$B$9,"SampleName",$I$5,"TargetName",B90)</f>
        <v>0.87733552590742292</v>
      </c>
      <c r="F90" s="30">
        <f t="shared" si="1"/>
        <v>0.54437188900786893</v>
      </c>
    </row>
    <row r="91" spans="1:6" x14ac:dyDescent="0.25">
      <c r="A91" s="29" t="s">
        <v>22</v>
      </c>
      <c r="B91" s="29" t="s">
        <v>28</v>
      </c>
      <c r="C91" s="29">
        <v>25.157878860945601</v>
      </c>
      <c r="D91" s="30">
        <f>C91-GETPIVOTDATA("Ct",Result!$B$2,"SampleName",A91,"TargetName",$I$4)</f>
        <v>10.161672682389749</v>
      </c>
      <c r="E91" s="30">
        <f>D91-GETPIVOTDATA("dCt",Result!$B$9,"SampleName",$I$5,"TargetName",B91)</f>
        <v>0.998731580908224</v>
      </c>
      <c r="F91" s="30">
        <f t="shared" si="1"/>
        <v>0.50043979386391491</v>
      </c>
    </row>
  </sheetData>
  <mergeCells count="2">
    <mergeCell ref="H1:J1"/>
    <mergeCell ref="H2:J2"/>
  </mergeCells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PCR">
                <anchor moveWithCells="1" sizeWithCells="1">
                  <from>
                    <xdr:col>7</xdr:col>
                    <xdr:colOff>76200</xdr:colOff>
                    <xdr:row>13</xdr:row>
                    <xdr:rowOff>142875</xdr:rowOff>
                  </from>
                  <to>
                    <xdr:col>8</xdr:col>
                    <xdr:colOff>819150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7"/>
  <sheetViews>
    <sheetView workbookViewId="0">
      <selection activeCell="B16" sqref="B16:I20"/>
    </sheetView>
  </sheetViews>
  <sheetFormatPr defaultRowHeight="14.25" x14ac:dyDescent="0.2"/>
  <cols>
    <col min="2" max="2" width="15.125" customWidth="1"/>
    <col min="3" max="3" width="14.375" customWidth="1"/>
    <col min="4" max="4" width="7.5" customWidth="1"/>
    <col min="5" max="5" width="7.625" customWidth="1"/>
    <col min="6" max="6" width="8.125" customWidth="1"/>
    <col min="7" max="7" width="7.125" customWidth="1"/>
    <col min="8" max="8" width="6.125" customWidth="1"/>
    <col min="9" max="10" width="8.625" customWidth="1"/>
    <col min="11" max="11" width="11.625" customWidth="1"/>
  </cols>
  <sheetData>
    <row r="2" spans="2:10" x14ac:dyDescent="0.2">
      <c r="B2" s="1" t="s">
        <v>3</v>
      </c>
      <c r="C2" s="1" t="s">
        <v>2</v>
      </c>
    </row>
    <row r="3" spans="2:10" x14ac:dyDescent="0.2">
      <c r="B3" s="1" t="s">
        <v>1</v>
      </c>
      <c r="C3" t="s">
        <v>27</v>
      </c>
      <c r="D3" t="s">
        <v>26</v>
      </c>
      <c r="E3" t="s">
        <v>25</v>
      </c>
      <c r="F3" t="s">
        <v>15</v>
      </c>
      <c r="G3" t="s">
        <v>28</v>
      </c>
      <c r="H3" t="s">
        <v>30</v>
      </c>
      <c r="I3" t="s">
        <v>24</v>
      </c>
      <c r="J3" t="s">
        <v>23</v>
      </c>
    </row>
    <row r="4" spans="2:10" x14ac:dyDescent="0.2">
      <c r="B4" t="s">
        <v>20</v>
      </c>
      <c r="C4" s="3">
        <v>28.703460811358902</v>
      </c>
      <c r="D4" s="3">
        <v>23.464782867542702</v>
      </c>
      <c r="E4" s="3">
        <v>19.226330052422973</v>
      </c>
      <c r="F4" s="3">
        <v>14.946376712813599</v>
      </c>
      <c r="G4" s="3">
        <v>24.109317814295125</v>
      </c>
      <c r="H4" s="3">
        <v>33.2048041251429</v>
      </c>
      <c r="I4" s="3">
        <v>17.905682023024575</v>
      </c>
      <c r="J4" s="3">
        <v>18.757824899616725</v>
      </c>
    </row>
    <row r="5" spans="2:10" x14ac:dyDescent="0.2">
      <c r="B5" t="s">
        <v>21</v>
      </c>
      <c r="C5" s="3">
        <v>28.586913656678398</v>
      </c>
      <c r="D5" s="3">
        <v>23.905072620126148</v>
      </c>
      <c r="E5" s="3">
        <v>20.545596314790899</v>
      </c>
      <c r="F5" s="3">
        <v>14.858877662173551</v>
      </c>
      <c r="G5" s="3">
        <v>24.479219255266926</v>
      </c>
      <c r="H5" s="3">
        <v>34.509830035908649</v>
      </c>
      <c r="I5" s="3">
        <v>17.871424728731377</v>
      </c>
      <c r="J5" s="3">
        <v>20.256616421927475</v>
      </c>
    </row>
    <row r="6" spans="2:10" x14ac:dyDescent="0.2">
      <c r="B6" t="s">
        <v>22</v>
      </c>
      <c r="C6" s="3">
        <v>28.866247785350829</v>
      </c>
      <c r="D6" s="3">
        <v>24.5844524807647</v>
      </c>
      <c r="E6" s="3">
        <v>21.470976093460425</v>
      </c>
      <c r="F6" s="3">
        <v>14.996206178555852</v>
      </c>
      <c r="G6" s="3">
        <v>24.921443688142251</v>
      </c>
      <c r="H6" s="3"/>
      <c r="I6" s="3">
        <v>17.888263612466201</v>
      </c>
      <c r="J6" s="3">
        <v>20.563266193492598</v>
      </c>
    </row>
    <row r="9" spans="2:10" x14ac:dyDescent="0.2">
      <c r="B9" s="1" t="s">
        <v>16</v>
      </c>
      <c r="C9" s="1" t="s">
        <v>2</v>
      </c>
    </row>
    <row r="10" spans="2:10" x14ac:dyDescent="0.2">
      <c r="B10" s="1" t="s">
        <v>1</v>
      </c>
      <c r="C10" t="s">
        <v>27</v>
      </c>
      <c r="D10" t="s">
        <v>26</v>
      </c>
      <c r="E10" t="s">
        <v>25</v>
      </c>
      <c r="F10" t="s">
        <v>15</v>
      </c>
      <c r="G10" t="s">
        <v>28</v>
      </c>
      <c r="H10" t="s">
        <v>30</v>
      </c>
      <c r="I10" t="s">
        <v>24</v>
      </c>
      <c r="J10" t="s">
        <v>23</v>
      </c>
    </row>
    <row r="11" spans="2:10" x14ac:dyDescent="0.2">
      <c r="B11" t="s">
        <v>20</v>
      </c>
      <c r="C11" s="3">
        <v>13.757084098545301</v>
      </c>
      <c r="D11" s="3">
        <v>8.518406154729103</v>
      </c>
      <c r="E11" s="3">
        <v>4.2799533396093761</v>
      </c>
      <c r="F11" s="3">
        <v>4.4408920985006262E-16</v>
      </c>
      <c r="G11" s="3">
        <v>9.1629411014815254</v>
      </c>
      <c r="H11" s="3">
        <v>18.258427412329301</v>
      </c>
      <c r="I11" s="3">
        <v>2.9593053102109765</v>
      </c>
      <c r="J11" s="3">
        <v>3.8114481868031254</v>
      </c>
    </row>
    <row r="12" spans="2:10" x14ac:dyDescent="0.2">
      <c r="B12" t="s">
        <v>21</v>
      </c>
      <c r="C12" s="3">
        <v>13.728035994504848</v>
      </c>
      <c r="D12" s="3">
        <v>9.0461949579525971</v>
      </c>
      <c r="E12" s="3">
        <v>5.6867186526173494</v>
      </c>
      <c r="F12" s="3">
        <v>-1.3322676295501878E-15</v>
      </c>
      <c r="G12" s="3">
        <v>9.6203415930933733</v>
      </c>
      <c r="H12" s="3">
        <v>19.650952373735098</v>
      </c>
      <c r="I12" s="3">
        <v>3.0125470665578238</v>
      </c>
      <c r="J12" s="3">
        <v>5.3977387597539241</v>
      </c>
    </row>
    <row r="13" spans="2:10" x14ac:dyDescent="0.2">
      <c r="B13" t="s">
        <v>22</v>
      </c>
      <c r="C13" s="3">
        <v>13.870041606794974</v>
      </c>
      <c r="D13" s="3">
        <v>9.588246302208848</v>
      </c>
      <c r="E13" s="3">
        <v>6.4747699149045728</v>
      </c>
      <c r="F13" s="3">
        <v>-1.7763568394002505E-15</v>
      </c>
      <c r="G13" s="3">
        <v>9.9252375095863989</v>
      </c>
      <c r="H13" s="3"/>
      <c r="I13" s="3">
        <v>2.892057433910348</v>
      </c>
      <c r="J13" s="3">
        <v>5.5670600149367475</v>
      </c>
    </row>
    <row r="16" spans="2:10" x14ac:dyDescent="0.2">
      <c r="B16" s="1" t="s">
        <v>17</v>
      </c>
      <c r="C16" s="1" t="s">
        <v>2</v>
      </c>
    </row>
    <row r="17" spans="2:9" x14ac:dyDescent="0.2">
      <c r="B17" s="1" t="s">
        <v>1</v>
      </c>
      <c r="C17" t="s">
        <v>27</v>
      </c>
      <c r="D17" t="s">
        <v>26</v>
      </c>
      <c r="E17" t="s">
        <v>25</v>
      </c>
      <c r="F17" t="s">
        <v>28</v>
      </c>
      <c r="G17" t="s">
        <v>30</v>
      </c>
      <c r="H17" t="s">
        <v>24</v>
      </c>
      <c r="I17" t="s">
        <v>23</v>
      </c>
    </row>
    <row r="18" spans="2:9" x14ac:dyDescent="0.2">
      <c r="B18" t="s">
        <v>20</v>
      </c>
      <c r="C18" s="3">
        <v>1.0010390223442487</v>
      </c>
      <c r="D18" s="3">
        <v>1.0013031199471056</v>
      </c>
      <c r="E18" s="3">
        <v>1.0009237943915046</v>
      </c>
      <c r="F18" s="3">
        <v>1.0067098661957381</v>
      </c>
      <c r="G18" s="3">
        <v>1.022596902667642</v>
      </c>
      <c r="H18" s="3">
        <v>1.0009353680703723</v>
      </c>
      <c r="I18" s="3">
        <v>1.0029543203133593</v>
      </c>
    </row>
    <row r="19" spans="2:9" x14ac:dyDescent="0.2">
      <c r="B19" t="s">
        <v>21</v>
      </c>
      <c r="C19" s="3">
        <v>1.0242174852227781</v>
      </c>
      <c r="D19" s="3">
        <v>0.69398393393422086</v>
      </c>
      <c r="E19" s="3">
        <v>0.37717750421807084</v>
      </c>
      <c r="F19" s="3">
        <v>0.73742288090163788</v>
      </c>
      <c r="G19" s="3">
        <v>0.38101887488036046</v>
      </c>
      <c r="H19" s="3">
        <v>0.96452283958325646</v>
      </c>
      <c r="I19" s="3">
        <v>0.33398344936564839</v>
      </c>
    </row>
    <row r="20" spans="2:9" x14ac:dyDescent="0.2">
      <c r="B20" t="s">
        <v>22</v>
      </c>
      <c r="C20" s="3">
        <v>0.92717997667917762</v>
      </c>
      <c r="D20" s="3">
        <v>0.47679067767075733</v>
      </c>
      <c r="E20" s="3">
        <v>0.21848774977365651</v>
      </c>
      <c r="F20" s="3">
        <v>0.59416795508661546</v>
      </c>
      <c r="G20" s="3"/>
      <c r="H20" s="3">
        <v>1.0560484850153771</v>
      </c>
      <c r="I20" s="3">
        <v>0.29937730403875062</v>
      </c>
    </row>
    <row r="23" spans="2:9" x14ac:dyDescent="0.2">
      <c r="B23" s="1" t="s">
        <v>18</v>
      </c>
      <c r="C23" s="1" t="s">
        <v>2</v>
      </c>
    </row>
    <row r="24" spans="2:9" x14ac:dyDescent="0.2">
      <c r="B24" s="1" t="s">
        <v>1</v>
      </c>
      <c r="C24" t="s">
        <v>27</v>
      </c>
      <c r="D24" t="s">
        <v>26</v>
      </c>
      <c r="E24" t="s">
        <v>25</v>
      </c>
      <c r="F24" t="s">
        <v>28</v>
      </c>
      <c r="G24" t="s">
        <v>30</v>
      </c>
      <c r="H24" t="s">
        <v>24</v>
      </c>
      <c r="I24" t="s">
        <v>23</v>
      </c>
    </row>
    <row r="25" spans="2:9" x14ac:dyDescent="0.2">
      <c r="B25" t="s">
        <v>20</v>
      </c>
      <c r="C25" s="3">
        <v>5.2061588053759794E-2</v>
      </c>
      <c r="D25" s="3">
        <v>5.9857109853740216E-2</v>
      </c>
      <c r="E25" s="3">
        <v>4.8959464025250143E-2</v>
      </c>
      <c r="F25" s="3">
        <v>0.13418940024352149</v>
      </c>
      <c r="G25" s="3">
        <v>0.24172683447766477</v>
      </c>
      <c r="H25" s="3">
        <v>5.0083932215530633E-2</v>
      </c>
      <c r="I25" s="3">
        <v>8.9079081294524007E-2</v>
      </c>
    </row>
    <row r="26" spans="2:9" x14ac:dyDescent="0.2">
      <c r="B26" t="s">
        <v>21</v>
      </c>
      <c r="C26" s="3">
        <v>0.10078330493506144</v>
      </c>
      <c r="D26" s="3">
        <v>2.6246834493002701E-2</v>
      </c>
      <c r="E26" s="3">
        <v>4.603829598080332E-3</v>
      </c>
      <c r="F26" s="3">
        <v>0.14013800024113593</v>
      </c>
      <c r="G26" s="3">
        <v>1.3595163417155786E-2</v>
      </c>
      <c r="H26" s="3">
        <v>4.4459844549252628E-2</v>
      </c>
      <c r="I26" s="3">
        <v>2.8463520355014853E-2</v>
      </c>
    </row>
    <row r="27" spans="2:9" x14ac:dyDescent="0.2">
      <c r="B27" t="s">
        <v>22</v>
      </c>
      <c r="C27" s="3">
        <v>7.6370501692024237E-2</v>
      </c>
      <c r="D27" s="3">
        <v>2.320995133831516E-2</v>
      </c>
      <c r="E27" s="3">
        <v>6.2358262206166125E-3</v>
      </c>
      <c r="F27" s="3">
        <v>8.4786977887163828E-2</v>
      </c>
      <c r="G27" s="3"/>
      <c r="H27" s="3">
        <v>0.15624432853585268</v>
      </c>
      <c r="I27" s="3">
        <v>5.1110507120024733E-2</v>
      </c>
    </row>
  </sheetData>
  <phoneticPr fontId="8" type="noConversion"/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2019-07-01T08:35:40Z</dcterms:modified>
</cp:coreProperties>
</file>